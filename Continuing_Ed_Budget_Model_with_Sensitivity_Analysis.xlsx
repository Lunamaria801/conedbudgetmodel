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drawings/drawing3.xml" ContentType="application/vnd.openxmlformats-officedocument.drawing+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Santi\Desktop\Data Analyst Projects\Cont_Ed_Project_DLH\"/>
    </mc:Choice>
  </mc:AlternateContent>
  <xr:revisionPtr revIDLastSave="0" documentId="13_ncr:1_{BF4B71C6-A697-4106-84B6-638887651637}" xr6:coauthVersionLast="47" xr6:coauthVersionMax="47" xr10:uidLastSave="{00000000-0000-0000-0000-000000000000}"/>
  <bookViews>
    <workbookView xWindow="-120" yWindow="-120" windowWidth="20730" windowHeight="11040" tabRatio="500" firstSheet="4" activeTab="4" xr2:uid="{00000000-000D-0000-FFFF-FFFF00000000}"/>
  </bookViews>
  <sheets>
    <sheet name="README" sheetId="1" r:id="rId1"/>
    <sheet name="Assumptions" sheetId="2" r:id="rId2"/>
    <sheet name="Budget Model" sheetId="3" r:id="rId3"/>
    <sheet name="Sensitivity Analysis" sheetId="4" r:id="rId4"/>
    <sheet name="ROI &amp; Breakeven" sheetId="5" r:id="rId5"/>
    <sheet name="Prudent Scenario" sheetId="6" r:id="rId6"/>
    <sheet name="Dashboard" sheetId="7" r:id="rId7"/>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B26" i="7" l="1"/>
  <c r="B25" i="7"/>
  <c r="B24" i="7"/>
  <c r="B23" i="7"/>
  <c r="D44" i="6"/>
  <c r="C44" i="6"/>
  <c r="D37" i="6"/>
  <c r="C37" i="6"/>
  <c r="D30" i="6"/>
  <c r="D31" i="6" s="1"/>
  <c r="D32" i="6" s="1"/>
  <c r="D33" i="6" s="1"/>
  <c r="C30" i="6"/>
  <c r="C31" i="6" s="1"/>
  <c r="C32" i="6" s="1"/>
  <c r="C33" i="6" s="1"/>
  <c r="D24" i="6"/>
  <c r="C24" i="6"/>
  <c r="D17" i="6"/>
  <c r="C17" i="6"/>
  <c r="D16" i="6"/>
  <c r="C16" i="6"/>
  <c r="D15" i="6"/>
  <c r="D18" i="6" s="1"/>
  <c r="D38" i="6" s="1"/>
  <c r="C15" i="6"/>
  <c r="C18" i="6" s="1"/>
  <c r="C38" i="6" s="1"/>
  <c r="D14" i="6"/>
  <c r="C14" i="6"/>
  <c r="D12" i="6"/>
  <c r="C12" i="6"/>
  <c r="D11" i="6"/>
  <c r="D13" i="6" s="1"/>
  <c r="C11" i="6"/>
  <c r="C13" i="6" s="1"/>
  <c r="D10" i="6"/>
  <c r="D22" i="6" s="1"/>
  <c r="C10" i="6"/>
  <c r="C22" i="6" s="1"/>
  <c r="D9" i="6"/>
  <c r="D21" i="6" s="1"/>
  <c r="D23" i="6" s="1"/>
  <c r="C9" i="6"/>
  <c r="C21" i="6" s="1"/>
  <c r="C23" i="6" s="1"/>
  <c r="D32" i="5"/>
  <c r="C32" i="5"/>
  <c r="D31" i="5"/>
  <c r="C31" i="5"/>
  <c r="D30" i="5"/>
  <c r="C30" i="5"/>
  <c r="D24" i="5"/>
  <c r="C24" i="5"/>
  <c r="D23" i="5"/>
  <c r="C23" i="5"/>
  <c r="D22" i="5"/>
  <c r="D34" i="5" s="1"/>
  <c r="C22" i="5"/>
  <c r="C34" i="5" s="1"/>
  <c r="D21" i="5"/>
  <c r="C21" i="5"/>
  <c r="D11" i="5"/>
  <c r="C11" i="5"/>
  <c r="D10" i="5"/>
  <c r="C10" i="5"/>
  <c r="D9" i="5"/>
  <c r="C9" i="5"/>
  <c r="D22" i="4"/>
  <c r="C22" i="4"/>
  <c r="E22" i="4" s="1"/>
  <c r="F22" i="4" s="1"/>
  <c r="G22" i="4" s="1"/>
  <c r="D21" i="4"/>
  <c r="C21" i="4"/>
  <c r="E21" i="4" s="1"/>
  <c r="F21" i="4" s="1"/>
  <c r="G21" i="4" s="1"/>
  <c r="D20" i="4"/>
  <c r="C20" i="4"/>
  <c r="E20" i="4" s="1"/>
  <c r="F20" i="4" s="1"/>
  <c r="G20" i="4" s="1"/>
  <c r="D19" i="4"/>
  <c r="C19" i="4"/>
  <c r="E19" i="4" s="1"/>
  <c r="D18" i="4"/>
  <c r="C18" i="4"/>
  <c r="E18" i="4" s="1"/>
  <c r="F12" i="4"/>
  <c r="E12" i="4"/>
  <c r="D12" i="4"/>
  <c r="C12" i="4"/>
  <c r="F11" i="4"/>
  <c r="E11" i="4"/>
  <c r="D11" i="4"/>
  <c r="C11" i="4"/>
  <c r="F10" i="4"/>
  <c r="E10" i="4"/>
  <c r="D10" i="4"/>
  <c r="C10" i="4"/>
  <c r="F9" i="4"/>
  <c r="E9" i="4"/>
  <c r="D9" i="4"/>
  <c r="C9" i="4"/>
  <c r="F8" i="4"/>
  <c r="E8" i="4"/>
  <c r="D8" i="4"/>
  <c r="C8" i="4"/>
  <c r="D38" i="3"/>
  <c r="C38" i="3"/>
  <c r="E38" i="3" s="1"/>
  <c r="D37" i="3"/>
  <c r="C37" i="3"/>
  <c r="E37" i="3" s="1"/>
  <c r="D36" i="3"/>
  <c r="C36" i="3"/>
  <c r="E36" i="3" s="1"/>
  <c r="D28" i="3"/>
  <c r="C28" i="3"/>
  <c r="E28" i="3" s="1"/>
  <c r="D27" i="3"/>
  <c r="C27" i="3"/>
  <c r="E27" i="3" s="1"/>
  <c r="E29" i="3" s="1"/>
  <c r="C12" i="7" s="1"/>
  <c r="D23" i="3"/>
  <c r="C23" i="3"/>
  <c r="E23" i="3" s="1"/>
  <c r="D22" i="3"/>
  <c r="C22" i="3"/>
  <c r="E22" i="3" s="1"/>
  <c r="E24" i="3" s="1"/>
  <c r="C11" i="7" s="1"/>
  <c r="D18" i="3"/>
  <c r="C18" i="3"/>
  <c r="E18" i="3" s="1"/>
  <c r="D17" i="3"/>
  <c r="C17" i="3"/>
  <c r="E17" i="3" s="1"/>
  <c r="E19" i="3" s="1"/>
  <c r="C10" i="7" s="1"/>
  <c r="C13" i="3"/>
  <c r="E13" i="3" s="1"/>
  <c r="D12" i="3"/>
  <c r="C12" i="3"/>
  <c r="E12" i="3" s="1"/>
  <c r="E14" i="3" s="1"/>
  <c r="D8" i="3"/>
  <c r="C8" i="3"/>
  <c r="E8" i="3" s="1"/>
  <c r="D7" i="3"/>
  <c r="C7" i="3"/>
  <c r="E7" i="3" s="1"/>
  <c r="E9" i="3" s="1"/>
  <c r="D25" i="6" l="1"/>
  <c r="D26" i="6"/>
  <c r="D36" i="6"/>
  <c r="D39" i="6" s="1"/>
  <c r="C25" i="6"/>
  <c r="C26" i="6"/>
  <c r="C36" i="6"/>
  <c r="C39" i="6" s="1"/>
  <c r="D27" i="6"/>
  <c r="E50" i="6"/>
  <c r="C27" i="6"/>
  <c r="D50" i="6"/>
  <c r="D35" i="5"/>
  <c r="D25" i="5"/>
  <c r="C35" i="5"/>
  <c r="C25" i="5"/>
  <c r="D33" i="5"/>
  <c r="D53" i="5"/>
  <c r="C33" i="5"/>
  <c r="C53" i="5"/>
  <c r="D17" i="5"/>
  <c r="D16" i="5"/>
  <c r="C17" i="5"/>
  <c r="C16" i="5"/>
  <c r="E38" i="4"/>
  <c r="C23" i="7" s="1"/>
  <c r="F38" i="4"/>
  <c r="C15" i="5"/>
  <c r="D15" i="5"/>
  <c r="C9" i="7"/>
  <c r="E32" i="3"/>
  <c r="E33" i="3"/>
  <c r="C29" i="4"/>
  <c r="D29" i="4"/>
  <c r="C16" i="7" s="1"/>
  <c r="E29" i="4"/>
  <c r="C30" i="4"/>
  <c r="D30" i="4"/>
  <c r="C17" i="7" s="1"/>
  <c r="E30" i="4"/>
  <c r="C31" i="4"/>
  <c r="D31" i="4"/>
  <c r="C18" i="7" s="1"/>
  <c r="E31" i="4"/>
  <c r="E39" i="4"/>
  <c r="C24" i="7" s="1"/>
  <c r="F39" i="4"/>
  <c r="E40" i="4"/>
  <c r="C25" i="7" s="1"/>
  <c r="F40" i="4"/>
  <c r="E41" i="4"/>
  <c r="C26" i="7" s="1"/>
  <c r="F41" i="4"/>
  <c r="C14" i="5"/>
  <c r="D14" i="5"/>
  <c r="C50" i="6"/>
  <c r="C8" i="7"/>
  <c r="F19" i="4"/>
  <c r="G19" i="4" s="1"/>
  <c r="F18" i="4"/>
  <c r="G18" i="4" s="1"/>
  <c r="E39" i="3"/>
  <c r="E53" i="6" l="1"/>
  <c r="D53" i="6"/>
  <c r="D40" i="6"/>
  <c r="D45" i="6"/>
  <c r="E55" i="6" s="1"/>
  <c r="E51" i="6"/>
  <c r="C40" i="6"/>
  <c r="C45" i="6"/>
  <c r="D55" i="6" s="1"/>
  <c r="D51" i="6"/>
  <c r="D36" i="5"/>
  <c r="C36" i="5"/>
  <c r="G38" i="4"/>
  <c r="D23" i="7"/>
  <c r="G39" i="4"/>
  <c r="D24" i="7"/>
  <c r="G40" i="4"/>
  <c r="D25" i="7"/>
  <c r="G41" i="4"/>
  <c r="D26" i="7"/>
  <c r="C18" i="5"/>
  <c r="D18" i="5"/>
  <c r="E41" i="3"/>
  <c r="C52" i="6" l="1"/>
  <c r="C51" i="6"/>
  <c r="C54" i="5"/>
  <c r="C44" i="5"/>
  <c r="C42" i="5"/>
  <c r="C43" i="5" s="1"/>
  <c r="C60" i="5" s="1"/>
  <c r="C40" i="5"/>
  <c r="C41" i="5" s="1"/>
  <c r="C59" i="5" s="1"/>
  <c r="D54" i="5"/>
  <c r="D62" i="5" s="1"/>
  <c r="D44" i="5"/>
  <c r="D42" i="5"/>
  <c r="D43" i="5" s="1"/>
  <c r="D60" i="5" s="1"/>
  <c r="D40" i="5"/>
  <c r="D41" i="5" s="1"/>
  <c r="D59" i="5" s="1"/>
  <c r="C37" i="5"/>
  <c r="D37" i="5"/>
  <c r="E52" i="6"/>
  <c r="D41" i="6"/>
  <c r="E54" i="6" s="1"/>
  <c r="D52" i="6"/>
  <c r="C41" i="6"/>
  <c r="D54" i="6" s="1"/>
  <c r="C62" i="5" l="1"/>
  <c r="C55" i="6"/>
  <c r="C45" i="5"/>
  <c r="C61" i="5" s="1"/>
  <c r="C48" i="5"/>
  <c r="C49" i="5" s="1"/>
  <c r="D45" i="5"/>
  <c r="D61" i="5" s="1"/>
  <c r="D48" i="5"/>
  <c r="D49" i="5" s="1"/>
  <c r="C54" i="6"/>
  <c r="C53" i="6"/>
  <c r="C62" i="6"/>
  <c r="E57" i="6"/>
  <c r="C61" i="6"/>
  <c r="D57" i="6"/>
  <c r="C57" i="6" l="1"/>
  <c r="C60" i="6"/>
</calcChain>
</file>

<file path=xl/sharedStrings.xml><?xml version="1.0" encoding="utf-8"?>
<sst xmlns="http://schemas.openxmlformats.org/spreadsheetml/2006/main" count="373" uniqueCount="313">
  <si>
    <t>Continuing Education Program — Operating Budget Model</t>
  </si>
  <si>
    <t>Fall Term Cycle (22-week period) · Portfolio Sample Workbook</t>
  </si>
  <si>
    <t>About this workbook</t>
  </si>
  <si>
    <t>This is an anonymized, rebuilt version of a real operating budget model I developed for a university continuing-education unit. Institution name, staff names, and exact rates have been generalized or adjusted for a public portfolio; the structure, logic, and analytical approach are unchanged from the live version used for planning.</t>
  </si>
  <si>
    <t>What it does</t>
  </si>
  <si>
    <t>- Models personnel, platform, communications, presenter honoraria, and student-assessor cost categories for a 22-week program cycle.</t>
  </si>
  <si>
    <t>- Separates confirmed costs from enrollment-dependent and proposal-dependent costs (clearly flagged).</t>
  </si>
  <si>
    <t>- Adds a revenue layer (live session + course pricing) to calculate net position / break-even, which the original budget did not include.</t>
  </si>
  <si>
    <t>- Runs a sensitivity analysis across the variables with the most planning uncertainty: enrollment volume, assessor hours per participant, personnel rate changes, and pricing tiers.</t>
  </si>
  <si>
    <t>- Includes a one-variable impact ranking (tornado-style) so a reader can see at a glance which assumption moves the budget the most.</t>
  </si>
  <si>
    <t>How to use it</t>
  </si>
  <si>
    <t>2. Budget Model shows the confirmed + estimated cost build, by category, for the base case.</t>
  </si>
  <si>
    <t>3. Sensitivity Analysis stress-tests the model across enrollment, pricing, and rate scenarios.</t>
  </si>
  <si>
    <t>4. Dashboard summarizes cost composition, the tornado ranking, and break-even by scenario as charts.</t>
  </si>
  <si>
    <t>4. ROI &amp; Breakeven tests two Open Call outcomes (Low/High, from the tornado ranking) and solves for the enrollment each channel would need, alone, to reach ROI = 0 — plus a blended growth multiplier and a diagnosis of why the deficit exists and how to close it.</t>
  </si>
  <si>
    <t>5. Dashboard summarizes cost composition, the tornado ranking, and break-even by scenario as charts.</t>
  </si>
  <si>
    <t>Tabs: README → Assumptions → Budget Model → Sensitivity Analysis → Dashboard</t>
  </si>
  <si>
    <t>Model Assumptions</t>
  </si>
  <si>
    <t>All blue cells are editable inputs. Everything downstream recalculates from this tab.</t>
  </si>
  <si>
    <t>1. Program Period</t>
  </si>
  <si>
    <t>Program length</t>
  </si>
  <si>
    <t>weeks</t>
  </si>
  <si>
    <t>Aug 1 – Dec 31 (Fall term cycle)</t>
  </si>
  <si>
    <t>2. Personnel Rates &amp; Hours</t>
  </si>
  <si>
    <t>Program Supervisor — hrs/week</t>
  </si>
  <si>
    <t>hrs/wk</t>
  </si>
  <si>
    <t>Program Supervisor — hourly rate</t>
  </si>
  <si>
    <t>$/hr</t>
  </si>
  <si>
    <t>Instructional Technologist — hrs/week</t>
  </si>
  <si>
    <t>Instructional Technologist — hourly rate</t>
  </si>
  <si>
    <t>Personnel rate adjustment (scenario lever)</t>
  </si>
  <si>
    <t>%</t>
  </si>
  <si>
    <t>Applied to both roles in sensitivity test</t>
  </si>
  <si>
    <t>3. Platform &amp; Hosting</t>
  </si>
  <si>
    <t>Platform subscription — monthly</t>
  </si>
  <si>
    <t>$/mo</t>
  </si>
  <si>
    <t>Modeled at full retail; no prior subscription assumed</t>
  </si>
  <si>
    <t>Platform subscription — months billed</t>
  </si>
  <si>
    <t>months</t>
  </si>
  <si>
    <t>Site hosting — flat rate</t>
  </si>
  <si>
    <t>$</t>
  </si>
  <si>
    <t>One-time, full period</t>
  </si>
  <si>
    <t>4. Communications &amp; Outreach</t>
  </si>
  <si>
    <t>Sessions requiring design/comms support</t>
  </si>
  <si>
    <t>sessions</t>
  </si>
  <si>
    <t>Webinars + workshops in the term</t>
  </si>
  <si>
    <t>Design &amp; promo cost per session</t>
  </si>
  <si>
    <t>$/session</t>
  </si>
  <si>
    <t>Graphics, certificates, social assets</t>
  </si>
  <si>
    <t>Email/distribution platform — monthly</t>
  </si>
  <si>
    <t>0 if covered by institutional license</t>
  </si>
  <si>
    <t>5. Presenter &amp; Facilitator Honoraria</t>
  </si>
  <si>
    <t>Webinars planned (term)</t>
  </si>
  <si>
    <t>Honorarium per webinar presenter</t>
  </si>
  <si>
    <t>Workshops planned (term)</t>
  </si>
  <si>
    <t>Honorarium per workshop facilitator</t>
  </si>
  <si>
    <t>6. Student Assessor Honoraria (evergreen courses)</t>
  </si>
  <si>
    <t>Graduate assessor rate</t>
  </si>
  <si>
    <t>Undergraduate assessor rate</t>
  </si>
  <si>
    <t>Assessor hours per review batch</t>
  </si>
  <si>
    <t>hrs/batch</t>
  </si>
  <si>
    <t>Corrected: one review hour covers a BATCH of participants (batch-graded single assessed piece), not one hour per individual participant.</t>
  </si>
  <si>
    <t>Share of assessment load — graduate</t>
  </si>
  <si>
    <t>Remainder assumed undergraduate</t>
  </si>
  <si>
    <t>7. Enrollment &amp; Registration (base case)</t>
  </si>
  <si>
    <t>Avg. registrations per webinar</t>
  </si>
  <si>
    <t>people</t>
  </si>
  <si>
    <t>Avg. registrations per workshop</t>
  </si>
  <si>
    <t>Evergreen course enrollment (Nov–Dec intake)</t>
  </si>
  <si>
    <t>Drives assessor honoraria</t>
  </si>
  <si>
    <t>8. Pricing (for revenue / net position view)</t>
  </si>
  <si>
    <t>Live webinar price</t>
  </si>
  <si>
    <t>Live workshop price</t>
  </si>
  <si>
    <t>Evergreen course price</t>
  </si>
  <si>
    <t>9. Assessor Review Batching (correction)</t>
  </si>
  <si>
    <t>Participants per assessor review batch</t>
  </si>
  <si>
    <t>ppl/batch</t>
  </si>
  <si>
    <t>One hour of assessor time reviews this many participants' submissions (batch-level check, not per-person deep marking).</t>
  </si>
  <si>
    <t>10. ROI Scenario Parameters — Open Call Outcomes</t>
  </si>
  <si>
    <t>Evergreen courses in scenario (both cases)</t>
  </si>
  <si>
    <t>courses</t>
  </si>
  <si>
    <t>Fixed per Fall 2026 plan — same in Low and High Open Call cases</t>
  </si>
  <si>
    <t>Low case — webinars awarded</t>
  </si>
  <si>
    <t>From variable impact ranking (tornado), low case</t>
  </si>
  <si>
    <t>Low case — workshops awarded</t>
  </si>
  <si>
    <t>High case — webinars awarded</t>
  </si>
  <si>
    <t>From variable impact ranking (tornado), high case</t>
  </si>
  <si>
    <t>High case — workshops awarded</t>
  </si>
  <si>
    <t>11. Prudent / Right-Sized Scenario Parameters</t>
  </si>
  <si>
    <t>Program Supervisor — hrs/week (right-sized)</t>
  </si>
  <si>
    <t>Reduced from 17 to match actual utilization</t>
  </si>
  <si>
    <t>Instructional Technologist — hrs/week (right-sized)</t>
  </si>
  <si>
    <t>Cohort intake window</t>
  </si>
  <si>
    <t>Final 3 months of the 22-week cycle</t>
  </si>
  <si>
    <t>Additional continuation webinars — conservative</t>
  </si>
  <si>
    <t>Continuation topics from pilot programming</t>
  </si>
  <si>
    <t>Additional continuation webinars — stretch</t>
  </si>
  <si>
    <t>Evergreen course cohorts — conservative</t>
  </si>
  <si>
    <t>cohorts</t>
  </si>
  <si>
    <t>Per course, within the intake window</t>
  </si>
  <si>
    <t>Evergreen course cohorts — stretch</t>
  </si>
  <si>
    <t>Enrollment per cohort, per course</t>
  </si>
  <si>
    <t>Same average as today's single intake, run repeatedly instead of once</t>
  </si>
  <si>
    <t>Operating Budget — Base Case</t>
  </si>
  <si>
    <t>Fall term cycle · all costs in CAD · formulas link live to the Assumptions tab</t>
  </si>
  <si>
    <t>Line Item</t>
  </si>
  <si>
    <t>Rate</t>
  </si>
  <si>
    <t>Hours / Units</t>
  </si>
  <si>
    <t>Total (CAD)</t>
  </si>
  <si>
    <t>Notes</t>
  </si>
  <si>
    <t>1. Personnel — Program Supervisor &amp; Instructional Technologist</t>
  </si>
  <si>
    <t>Program Supervisor</t>
  </si>
  <si>
    <t>Rate includes sensitivity adjustment lever</t>
  </si>
  <si>
    <t>Instructional Technologist</t>
  </si>
  <si>
    <t>Personnel Subtotal</t>
  </si>
  <si>
    <t>2. Digital Learning Platform &amp; Hosting</t>
  </si>
  <si>
    <t>Platform subscription</t>
  </si>
  <si>
    <t>Modeled at full retail (no prior subscription assumed)</t>
  </si>
  <si>
    <t>Site hosting</t>
  </si>
  <si>
    <t>Flat rate, full period</t>
  </si>
  <si>
    <t>Platform Subtotal</t>
  </si>
  <si>
    <t>3. Communications &amp; Outreach</t>
  </si>
  <si>
    <t>Design &amp; promo materials</t>
  </si>
  <si>
    <t>Per-session graphics, certificates, social assets</t>
  </si>
  <si>
    <t>Email / distribution platform</t>
  </si>
  <si>
    <t>Set to $0 if covered by institutional license</t>
  </si>
  <si>
    <t>Communications Subtotal</t>
  </si>
  <si>
    <t>4. Presenter &amp; Facilitator Honoraria (Open Call for Proposals)</t>
  </si>
  <si>
    <t>Webinar presenters</t>
  </si>
  <si>
    <t>Estimate — confirmed only once proposals are reviewed</t>
  </si>
  <si>
    <t>Workshop facilitators</t>
  </si>
  <si>
    <t>Presenter Honoraria Subtotal (Estimate)</t>
  </si>
  <si>
    <t>5. Student Assessor Honoraria — Evergreen Courses (Est. Nov 2026 intake)</t>
  </si>
  <si>
    <t>Graduate assessor hours</t>
  </si>
  <si>
    <t>Hours scale in batches of 10 participants, not 1:1 per person</t>
  </si>
  <si>
    <t>Undergraduate assessor hours</t>
  </si>
  <si>
    <t>Assessor Honoraria Subtotal (Estimate)</t>
  </si>
  <si>
    <t>TOTAL CONFIRMED COSTS (Personnel + Platform)</t>
  </si>
  <si>
    <t>TOTAL BUDGET (incl. communications, honoraria &amp; assessor estimates)</t>
  </si>
  <si>
    <t>6. Revenue &amp; Net Position (added view — not in original budget)</t>
  </si>
  <si>
    <t>Webinar registration revenue</t>
  </si>
  <si>
    <t>Registrations × sessions</t>
  </si>
  <si>
    <t>Workshop registration revenue</t>
  </si>
  <si>
    <t>Evergreen course revenue</t>
  </si>
  <si>
    <t>Nov–Dec intake</t>
  </si>
  <si>
    <t>Revenue Subtotal</t>
  </si>
  <si>
    <t>NET POSITION (Revenue − Total Budget)</t>
  </si>
  <si>
    <t>Sensitivity Analysis</t>
  </si>
  <si>
    <t>Stress-testing the budget against the assumptions with the most planning uncertainty</t>
  </si>
  <si>
    <t>1. Assessor Honoraria Cost — Enrollment × Hours-per-Participant</t>
  </si>
  <si>
    <t>The assessor line is the most enrollment-sensitive cost in the model (it only activates once the Nov intake opens, and scales directly with sign-ups). This grid recomputes total assessor cost for each combination, independent of the live Assumptions tab inputs.</t>
  </si>
  <si>
    <t>Enrollment \ Hrs/batch (batch = 10 ppl)</t>
  </si>
  <si>
    <t>Base case ≈ 40 people ÷ 10 = 4 batches × 1.5 hrs (highlighted column/row above)</t>
  </si>
  <si>
    <t>2. Personnel Rate Sensitivity — Total Budget Impact</t>
  </si>
  <si>
    <t>Personnel is the single largest cost category (roughly 90%+ of confirmed costs), so even a small rate change moves the whole budget. This recomputes Total Budget directly using the same logic as the Budget Model tab, varying only the personnel rate adjustment.</t>
  </si>
  <si>
    <t>Rate Adjustment</t>
  </si>
  <si>
    <t>Instr. Technologist</t>
  </si>
  <si>
    <t>Total Budget (all categories)</t>
  </si>
  <si>
    <t>Δ vs. Base Case</t>
  </si>
  <si>
    <t>Highlighted row = base case (0% adjustment), matches Budget Model total</t>
  </si>
  <si>
    <t>3. Net Position — Enrollment Scenario × Pricing Tier</t>
  </si>
  <si>
    <t>Combines the revenue side with the full cost build to test break-even risk: how participation levels and pricing strategy together determine whether the term cycle is net-positive or net-negative, holding all confirmed costs constant.</t>
  </si>
  <si>
    <t>Enrollment scenario \ Pricing</t>
  </si>
  <si>
    <t>Conservative (-15%)</t>
  </si>
  <si>
    <t>Current</t>
  </si>
  <si>
    <t>Premium (+15%)</t>
  </si>
  <si>
    <t>Low</t>
  </si>
  <si>
    <t>Base</t>
  </si>
  <si>
    <t>High</t>
  </si>
  <si>
    <t>Green = net-positive term; red = the program runs at a deficit at that combination</t>
  </si>
  <si>
    <t>4. Variable Impact Ranking (Tornado) — Total Budget</t>
  </si>
  <si>
    <t>Each variable is flexed individually from low to high while holding everything else at base case, to rank which assumptions carry the most budget risk.</t>
  </si>
  <si>
    <t>Variable</t>
  </si>
  <si>
    <t>Low case</t>
  </si>
  <si>
    <t>High case</t>
  </si>
  <si>
    <t>Total Budget @ Low</t>
  </si>
  <si>
    <t>Total Budget @ High</t>
  </si>
  <si>
    <t>Swing ($)</t>
  </si>
  <si>
    <t>Personnel rate (±10%)</t>
  </si>
  <si>
    <t>-10%</t>
  </si>
  <si>
    <t>+10%</t>
  </si>
  <si>
    <t>Course enrollment (50%–150%)</t>
  </si>
  <si>
    <t>-50%</t>
  </si>
  <si>
    <t>+50%</t>
  </si>
  <si>
    <t>Assessor hrs/batch (1.0–2.5)</t>
  </si>
  <si>
    <t>1.0 hr</t>
  </si>
  <si>
    <t>2.5 hrs</t>
  </si>
  <si>
    <t>Open Call outcomes (sessions awarded)</t>
  </si>
  <si>
    <t>3 wbnr / 1 wksp</t>
  </si>
  <si>
    <t>5 wbnr / 2 wksp</t>
  </si>
  <si>
    <t>Sorted by analyst read: personnel rate and Open-Call outcomes carry the largest swing; see Dashboard for the chart.</t>
  </si>
  <si>
    <t>ROI &amp; Break-Even Analysis</t>
  </si>
  <si>
    <t>How many enrollments are needed for ROI = 0, using the Low/High Open Call cases from the tornado ranking</t>
  </si>
  <si>
    <t>Methodology: fixed costs (personnel, platform, communications, presenter honoraria) are held constant within each scenario. The only cost that varies with enrollment is student assessor time, and it applies to evergreen courses only. Course revenue is stated net of assessor cost (contribution margin). Two Open Call outcomes are tested — Low = 3 webinars / 1 workshop, High = 5 webinars / 2 workshops — both holding 2 evergreen courses.</t>
  </si>
  <si>
    <t>Low Case</t>
  </si>
  <si>
    <t>High Case</t>
  </si>
  <si>
    <t>1. Scenario Definition</t>
  </si>
  <si>
    <t>Webinars awarded</t>
  </si>
  <si>
    <t>Workshops awarded</t>
  </si>
  <si>
    <t>Evergreen courses</t>
  </si>
  <si>
    <t>2. Fixed Cost Build (excl. assessor honoraria)</t>
  </si>
  <si>
    <t>Personnel</t>
  </si>
  <si>
    <t>Platform &amp; hosting</t>
  </si>
  <si>
    <t>Communications (scales w/ sessions)</t>
  </si>
  <si>
    <t>Presenter honoraria</t>
  </si>
  <si>
    <t>Fixed Cost Subtotal</t>
  </si>
  <si>
    <t>3. Contribution Margin per Enrollment</t>
  </si>
  <si>
    <t>Webinar price</t>
  </si>
  <si>
    <t>Workshop price</t>
  </si>
  <si>
    <t>Less: assessor cost per course enrollment</t>
  </si>
  <si>
    <t>Course contribution margin (net)</t>
  </si>
  <si>
    <t>Assessor cost is treated as a smooth per-enrollment rate here to solve algebraically for the break-even point; the verification rows below re-check the result using the real batch-rounded (step) cost from the Budget Model.</t>
  </si>
  <si>
    <t>4. Base-Case Reference (current average enrollment)</t>
  </si>
  <si>
    <t>Avg. registrations / webinar (current)</t>
  </si>
  <si>
    <t>Avg. registrations / workshop (current)</t>
  </si>
  <si>
    <t>Evergreen course enrollment (current)</t>
  </si>
  <si>
    <t>→ Base webinar revenue</t>
  </si>
  <si>
    <t>→ Base workshop revenue</t>
  </si>
  <si>
    <t>→ Base course revenue (net of actual assessor cost)</t>
  </si>
  <si>
    <t>Base Total Revenue</t>
  </si>
  <si>
    <t>BASE-CASE NET POSITION (current avg. enrollment)</t>
  </si>
  <si>
    <t>5. Break-Even Enrollment Required (ROI = 0), Holding Other Channels at Base Case</t>
  </si>
  <si>
    <t>Required avg. registrations / webinar</t>
  </si>
  <si>
    <t>→ Multiple of current webinar avg.</t>
  </si>
  <si>
    <t>Required avg. registrations / workshop</t>
  </si>
  <si>
    <t>→ Multiple of current workshop avg.</t>
  </si>
  <si>
    <t>Required evergreen course enrollment</t>
  </si>
  <si>
    <t>→ Multiple of current course enrollment</t>
  </si>
  <si>
    <t>Verification (rounded to nearest batch of 10, real stepped assessor cost applied): confirms the algebraic course break-even holds once the batch-rounding rule is reapplied.</t>
  </si>
  <si>
    <t>Required course enrollment, rounded up to nearest 10</t>
  </si>
  <si>
    <t>→ Net position check at rounded enrollment (should be ≥ $0)</t>
  </si>
  <si>
    <t>6. Blended Break-Even — Uniform Growth Across All Channels</t>
  </si>
  <si>
    <t>If webinar, workshop, and course enrollment all grew by the same multiple relative to today's average levels simultaneously, this is the multiple needed to reach ROI = 0.</t>
  </si>
  <si>
    <t>Gross base revenue (before assessor cost)</t>
  </si>
  <si>
    <t>Required uniform growth multiplier (x current)</t>
  </si>
  <si>
    <t>Chart Data — Required Growth Multiple vs. Current Enrollment</t>
  </si>
  <si>
    <t>Channel</t>
  </si>
  <si>
    <t>Webinar</t>
  </si>
  <si>
    <t>Workshop</t>
  </si>
  <si>
    <t>Evergreen course</t>
  </si>
  <si>
    <t>Blended (uniform growth)</t>
  </si>
  <si>
    <t>7. Deficit Diagnosis &amp; Path to Profitability</t>
  </si>
  <si>
    <t>2. Evergreen courses are the most efficient lever. Their contribution margin (~$146.58/enrollment, net of assessor cost) is 3.3x a webinar's and 1.7x a workshop's, and course cost barely moves with enrollment. Prioritizing course marketing and the Micro-Certificate pathway does more for the bottom line per participant than growing live-session attendance.</t>
  </si>
  <si>
    <t>Prudent Scenario — Right-Sized Staffing &amp; Phased Rollout</t>
  </si>
  <si>
    <t>A more measured operating model: reduced Instructional Technologist / Program Supervisor hours, evergreen courses run as repeatable cohorts, and continuation webinars from pilot topics</t>
  </si>
  <si>
    <t>Conservative</t>
  </si>
  <si>
    <t>Stretch</t>
  </si>
  <si>
    <t>Program Supervisor hrs/week</t>
  </si>
  <si>
    <t>Instructional Technologist hrs/week</t>
  </si>
  <si>
    <t>Base webinars (confirmed plan)</t>
  </si>
  <si>
    <t>+ Continuation webinars (pilot topics)</t>
  </si>
  <si>
    <t>Total webinars</t>
  </si>
  <si>
    <t>Workshops (unchanged)</t>
  </si>
  <si>
    <t>Cohorts per course (final 13 weeks)</t>
  </si>
  <si>
    <t>Total evergreen course enrollment</t>
  </si>
  <si>
    <t>2. Fixed Cost Build (right-sized personnel)</t>
  </si>
  <si>
    <t>Communications (webinars + workshops + cohort intakes)</t>
  </si>
  <si>
    <t>3. Assessor Honoraria (batch-based, per cohort per course)</t>
  </si>
  <si>
    <t>Batches per cohort</t>
  </si>
  <si>
    <t>Total batches (courses × cohorts × batches/cohort)</t>
  </si>
  <si>
    <t>Total assessor hours</t>
  </si>
  <si>
    <t>Assessor Honoraria Cost</t>
  </si>
  <si>
    <t>4. Revenue &amp; Net Position</t>
  </si>
  <si>
    <t>Webinar revenue</t>
  </si>
  <si>
    <t>Workshop revenue</t>
  </si>
  <si>
    <t>Evergreen course revenue (gross)</t>
  </si>
  <si>
    <t>Total Revenue</t>
  </si>
  <si>
    <t>Total Cost (Fixed + Assessor)</t>
  </si>
  <si>
    <t>NET POSITION</t>
  </si>
  <si>
    <t>5. Blended Break-Even Multiple (uniform growth)</t>
  </si>
  <si>
    <t>Assessor marginal cost per course enrollment</t>
  </si>
  <si>
    <t>6. Comparison — Original Staffing vs. Prudent Scenario</t>
  </si>
  <si>
    <t>Original (Low Case)</t>
  </si>
  <si>
    <t>Prudent — Conservative</t>
  </si>
  <si>
    <t>Prudent — Stretch</t>
  </si>
  <si>
    <t>Personnel cost</t>
  </si>
  <si>
    <t>Fixed cost (incl. honoraria/comms)</t>
  </si>
  <si>
    <t>Total cost</t>
  </si>
  <si>
    <t>Total revenue</t>
  </si>
  <si>
    <t>Net position</t>
  </si>
  <si>
    <t>Growth multiple needed for ROI = 0</t>
  </si>
  <si>
    <t>Deficit reduction vs. original</t>
  </si>
  <si>
    <t>Scenario</t>
  </si>
  <si>
    <t>Net Position</t>
  </si>
  <si>
    <t>7. What This Scenario Changes — and Why It Works</t>
  </si>
  <si>
    <t>Continuation webinars monetize content that already exists. Adding 2–3 webinars as follow-ups to pilot topics means no new content development — just incremental honoraria and comms cost against proven-demand topics, at the same $45/registrant economics as the rest of the webinar line.</t>
  </si>
  <si>
    <t>Net effect: the deficit shrinks by 57–77% (from −$31,492 to −$13,429 conservative, or −$7,295 stretch) without assuming any enrollment miracle — and the growth multiple needed for full break-even drops from 4.60x to 1.33–1.86x, which is a plausible target rather than an aspirational one.</t>
  </si>
  <si>
    <t>Caveat: reducing the Instructional Technologist's hours assumes their remaining time still covers platform upkeep, cohort scheduling, and course-content editing at the new cadence — worth validating with them directly before finalizing, since 20 hrs/week is a meaningful cut from full-time.</t>
  </si>
  <si>
    <t>Dashboard</t>
  </si>
  <si>
    <t>Cost composition, scenario range, and the variables that matter most</t>
  </si>
  <si>
    <t>Cost Composition — Base Case</t>
  </si>
  <si>
    <t>Category</t>
  </si>
  <si>
    <t>Amount</t>
  </si>
  <si>
    <t>Platform &amp; Hosting</t>
  </si>
  <si>
    <t>Communications</t>
  </si>
  <si>
    <t>Presenter Honoraria</t>
  </si>
  <si>
    <t>Assessor Honoraria</t>
  </si>
  <si>
    <t>Net Position by Scenario (Current Pricing column)</t>
  </si>
  <si>
    <t>Enrollment Scenario</t>
  </si>
  <si>
    <t>Variable Impact Ranking (Tornado)</t>
  </si>
  <si>
    <t>Read: bars show the Total Budget at each variable's low and high case. Wider gaps = bigger planning risk; personnel rate and Open Call outcomes dominate.</t>
  </si>
  <si>
    <t>Reduced from 35 as current scope doesn't sustain a full-time role</t>
  </si>
  <si>
    <t>Why the deficit exists: personnel is 91–93% of fixed cost in both scenarios (~$38,060 of $40,250–$41,030). Registration-fee revenue was never sized to cover two near-full-time staff roles because it was designed to offset direct programming costs, not personnel. That reframes the 'deficit' as an expected feature of a subsidized professional-development unit, not a pricing or enrollment failure.</t>
  </si>
  <si>
    <t>1. Enrollment alone cannot close the gap. Even in the High case, breaking even purely through webinar or workshop attendance would require 145–191 people in a single session, which is implausible for a niche CE audience. Course enrollment is the only channel in which the required multiple (≈6x) falls within a plausible growth range.</t>
  </si>
  <si>
    <t>3. Winning more Open Call proposals helps, not hurts. Counterintuitively, the High case (more sessions, more honoraria) has a LOWER blended break-even multiple (3.69x) than the Low case (4.60x). More sessions spread the fixed personnel cost over more revenue-generating capacity faster than honoraria grows, so a strong Open Call response improves feasibility, provided attendance per session doesn't drop as a result.</t>
  </si>
  <si>
    <t>4. Price alone won't fix it either. A 15% price increase (tested in the Sensitivity tab) only moves net position by roughly the same order of magnitude as a moderate enrollment swing; helpful at the margin, but not sufficient on its own without also growing course volume.</t>
  </si>
  <si>
    <t>Data note: 'growth multiple' assumes attendance grows uniformly per session; in practice, the ConEd Program could also reach the course break-even target by adding a 3rd or 4th evergreen course rather than growing enrollment 6x in the existing two,  likely a more realistic path, and outside the scope of this enrollment-only model.</t>
  </si>
  <si>
    <t>5. Recommended framing for stakeholders: report the budget in two layers: (a) 'incremental cash cost' (platform, comms, honoraria, assessor - the costs the ConEd Program's registration revenue realistically should cover) vs. (b) personnel, which is an institutional investment. Under framing (a), break-even enrollment multiples drop sharply and the program looks close to self-sustaining on direct costs; under framing (b), it's a subsidized program by design. Both are legitimate, so choose based on the audience (operational planning vs. funding justification).</t>
  </si>
  <si>
    <t>Storytelling premise: the Instructional Technologist role was budgeted at full-time (35 hrs/wk), but current program scope doesn't sustain that utilization. This scenario right-sizes both staff roles and replaces a single large course intake with 2–3 smaller, repeatable cohorts in the final 13 weeks, plus 2–3 continuation webinars drawn from pilot-tested topics which is a more regular, sustainable cadence instead of one-off spikes.</t>
  </si>
  <si>
    <t>Personnel right-sizing does almost all the work. Cutting Instructional Technologist hours from 35→20 and Program Supervisor from 17→15/week saves $11,660 over the 22-week cycle: more than 3x the total improvement from adding webinars and cohorts combined. This is the single biggest lever in the whole model, confirming the tornado ranking's finding that personnel dominates budget risk.</t>
  </si>
  <si>
    <t>Cohorts convert one big, risky ask into several smaller, repeatable ones. Instead of needing a single 255-person course intake to break even (per the ROI tab), running 2–3 cohorts of ~20 people per course across the final 13 weeks is a realistic, incremental target, and each cohort adds a small, predictable amount of assessor cost rather than a single large unknown.</t>
  </si>
  <si>
    <t>6. Prudent Scenario tests a more measured operating model: reduced Instructional Technologist / Program Supervisor hours, evergreen courses run as repeatable cohorts, and continuation webinars, and compares its deficit and break-even multiple directly against the original staffing plan.</t>
  </si>
  <si>
    <t>1. Start on the Assumptions tab - every blue cell is a live input. Change any of them, and the rest of the workbook recalculates.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</si>
</sst>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1">
    <numFmt numFmtId="164" formatCode="\$#,##0;&quot;($&quot;#,##0\);\-"/>
    <numFmt numFmtId="165" formatCode="0.0%"/>
    <numFmt numFmtId="166" formatCode="#,##0&quot; hrs&quot;"/>
    <numFmt numFmtId="167" formatCode="#,##0&quot; mo&quot;"/>
    <numFmt numFmtId="168" formatCode="#,##0&quot; sessions&quot;"/>
    <numFmt numFmtId="169" formatCode="#,##0.0&quot; hrs&quot;"/>
    <numFmt numFmtId="170" formatCode="#,##0&quot; regs&quot;"/>
    <numFmt numFmtId="171" formatCode="#,##0&quot; enroll&quot;"/>
    <numFmt numFmtId="172" formatCode="0.0&quot; hrs&quot;"/>
    <numFmt numFmtId="173" formatCode="0&quot; people&quot;"/>
    <numFmt numFmtId="174" formatCode="\$#,##0;&quot;($&quot;#,##0\)"/>
    <numFmt numFmtId="175" formatCode="\+0%;\-0%;0%"/>
    <numFmt numFmtId="176" formatCode="&quot;+$&quot;#,##0;&quot;-$&quot;#,##0;\-"/>
    <numFmt numFmtId="177" formatCode="0&quot; sessions&quot;"/>
    <numFmt numFmtId="178" formatCode="0&quot; courses&quot;"/>
    <numFmt numFmtId="179" formatCode="\$#,##0.00;&quot;($&quot;#,##0.00\)"/>
    <numFmt numFmtId="180" formatCode="#,##0&quot; people&quot;"/>
    <numFmt numFmtId="181" formatCode="0.00\x"/>
    <numFmt numFmtId="182" formatCode="0&quot; hrs/wk&quot;"/>
    <numFmt numFmtId="183" formatCode="0&quot; cohorts&quot;"/>
    <numFmt numFmtId="184" formatCode="0&quot; batches&quot;"/>
  </numFmts>
  <fonts count="9" x14ac:knownFonts="1">
    <font>
      <sz val="11"/>
      <color theme="1"/>
      <name val="Calibri"/>
      <family val="2"/>
      <charset val="1"/>
    </font>
    <font>
      <b/>
      <sz val="16"/>
      <color rgb="FF1F3864"/>
      <name val="Arial"/>
      <charset val="1"/>
    </font>
    <font>
      <i/>
      <sz val="10"/>
      <color rgb="FF595959"/>
      <name val="Arial"/>
      <charset val="1"/>
    </font>
    <font>
      <b/>
      <sz val="10"/>
      <color rgb="FF000000"/>
      <name val="Arial"/>
      <charset val="1"/>
    </font>
    <font>
      <sz val="10"/>
      <color rgb="FF000000"/>
      <name val="Arial"/>
      <charset val="1"/>
    </font>
    <font>
      <b/>
      <sz val="11"/>
      <color rgb="FFFFFFFF"/>
      <name val="Arial"/>
      <charset val="1"/>
    </font>
    <font>
      <sz val="10"/>
      <color rgb="FF0000FF"/>
      <name val="Arial"/>
      <charset val="1"/>
    </font>
    <font>
      <sz val="10"/>
      <color rgb="FF008000"/>
      <name val="Arial"/>
      <charset val="1"/>
    </font>
    <font>
      <i/>
      <sz val="9"/>
      <color rgb="FF808080"/>
      <name val="Arial"/>
      <charset val="1"/>
    </font>
  </fonts>
  <fills count="10">
    <fill>
      <patternFill patternType="none"/>
    </fill>
    <fill>
      <patternFill patternType="gray125"/>
    </fill>
    <fill>
      <patternFill patternType="solid">
        <fgColor rgb="FF2E5395"/>
        <bgColor rgb="FF1F3864"/>
      </patternFill>
    </fill>
    <fill>
      <patternFill patternType="solid">
        <fgColor rgb="FFFFFFFF"/>
        <bgColor rgb="FFFFF2CC"/>
      </patternFill>
    </fill>
    <fill>
      <patternFill patternType="solid">
        <fgColor rgb="FF1F3864"/>
        <bgColor rgb="FF2E5395"/>
      </patternFill>
    </fill>
    <fill>
      <patternFill patternType="solid">
        <fgColor rgb="FFD9E1F2"/>
        <bgColor rgb="FFD9D9D9"/>
      </patternFill>
    </fill>
    <fill>
      <patternFill patternType="solid">
        <fgColor rgb="FFBFBFBF"/>
        <bgColor rgb="FFB3B3B3"/>
      </patternFill>
    </fill>
    <fill>
      <patternFill patternType="solid">
        <fgColor rgb="FFFFE699"/>
        <bgColor rgb="FFFFF2CC"/>
      </patternFill>
    </fill>
    <fill>
      <patternFill patternType="solid">
        <fgColor rgb="FFFFF2CC"/>
        <bgColor rgb="FFE2EFDA"/>
      </patternFill>
    </fill>
    <fill>
      <patternFill patternType="solid">
        <fgColor rgb="FFE2EFDA"/>
        <bgColor rgb="FFD9E1F2"/>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78">
    <xf numFmtId="0" fontId="0" fillId="0" borderId="0" xfId="0"/>
    <xf numFmtId="0" fontId="2" fillId="0" borderId="0" xfId="0" applyFont="1" applyAlignment="1">
      <alignment wrapText="1"/>
    </xf>
    <xf numFmtId="0" fontId="3" fillId="9" borderId="0" xfId="0" applyFont="1" applyFill="1" applyAlignment="1">
      <alignment vertical="top" wrapText="1"/>
    </xf>
    <xf numFmtId="0" fontId="4" fillId="0" borderId="0" xfId="0" applyFont="1" applyAlignment="1">
      <alignment vertical="top" wrapText="1"/>
    </xf>
    <xf numFmtId="0" fontId="3" fillId="8" borderId="0" xfId="0" applyFont="1" applyFill="1" applyAlignment="1">
      <alignment vertical="top" wrapText="1"/>
    </xf>
    <xf numFmtId="0" fontId="8" fillId="0" borderId="0" xfId="0" applyFont="1" applyAlignment="1">
      <alignment vertical="top" wrapText="1"/>
    </xf>
    <xf numFmtId="0" fontId="8" fillId="0" borderId="0" xfId="0" applyFont="1" applyAlignment="1">
      <alignment wrapText="1"/>
    </xf>
    <xf numFmtId="0" fontId="1" fillId="0" borderId="0" xfId="0" applyFont="1"/>
    <xf numFmtId="0" fontId="2" fillId="0" borderId="0" xfId="0" applyFont="1"/>
    <xf numFmtId="0" fontId="3" fillId="0" borderId="0" xfId="0" applyFont="1" applyAlignment="1">
      <alignment vertical="top" wrapText="1"/>
    </xf>
    <xf numFmtId="0" fontId="4" fillId="0" borderId="0" xfId="0" applyFont="1" applyAlignment="1">
      <alignment vertical="top" wrapText="1"/>
    </xf>
    <xf numFmtId="0" fontId="5" fillId="2" borderId="0" xfId="0" applyFont="1" applyFill="1" applyAlignment="1">
      <alignment vertical="center"/>
    </xf>
    <xf numFmtId="0" fontId="4" fillId="0" borderId="0" xfId="0" applyFont="1"/>
    <xf numFmtId="0" fontId="6" fillId="3" borderId="1" xfId="0" applyFont="1" applyFill="1" applyBorder="1"/>
    <xf numFmtId="0" fontId="2" fillId="0" borderId="0" xfId="0" applyFont="1" applyAlignment="1">
      <alignment wrapText="1"/>
    </xf>
    <xf numFmtId="164" fontId="6" fillId="3" borderId="1" xfId="0" applyNumberFormat="1" applyFont="1" applyFill="1" applyBorder="1"/>
    <xf numFmtId="165" fontId="6" fillId="3" borderId="1" xfId="0" applyNumberFormat="1" applyFont="1" applyFill="1" applyBorder="1"/>
    <xf numFmtId="0" fontId="5" fillId="2" borderId="0" xfId="0" applyFont="1" applyFill="1"/>
    <xf numFmtId="0" fontId="5" fillId="4" borderId="0" xfId="0" applyFont="1" applyFill="1" applyAlignment="1">
      <alignment vertical="center"/>
    </xf>
    <xf numFmtId="0" fontId="4" fillId="0" borderId="1" xfId="0" applyFont="1" applyBorder="1"/>
    <xf numFmtId="164" fontId="7" fillId="0" borderId="1" xfId="0" applyNumberFormat="1" applyFont="1" applyBorder="1"/>
    <xf numFmtId="166" fontId="7" fillId="0" borderId="1" xfId="0" applyNumberFormat="1" applyFont="1" applyBorder="1"/>
    <xf numFmtId="164" fontId="4" fillId="0" borderId="1" xfId="0" applyNumberFormat="1" applyFont="1" applyBorder="1"/>
    <xf numFmtId="0" fontId="8" fillId="0" borderId="0" xfId="0" applyFont="1" applyAlignment="1">
      <alignment wrapText="1"/>
    </xf>
    <xf numFmtId="0" fontId="3" fillId="5" borderId="1" xfId="0" applyFont="1" applyFill="1" applyBorder="1"/>
    <xf numFmtId="0" fontId="0" fillId="5" borderId="1" xfId="0" applyFill="1" applyBorder="1"/>
    <xf numFmtId="164" fontId="3" fillId="5" borderId="1" xfId="0" applyNumberFormat="1" applyFont="1" applyFill="1" applyBorder="1"/>
    <xf numFmtId="167" fontId="7" fillId="0" borderId="1" xfId="0" applyNumberFormat="1" applyFont="1" applyBorder="1"/>
    <xf numFmtId="0" fontId="7" fillId="0" borderId="1" xfId="0" applyFont="1" applyBorder="1"/>
    <xf numFmtId="168" fontId="7" fillId="0" borderId="1" xfId="0" applyNumberFormat="1" applyFont="1" applyBorder="1"/>
    <xf numFmtId="169" fontId="7" fillId="0" borderId="1" xfId="0" applyNumberFormat="1" applyFont="1" applyBorder="1"/>
    <xf numFmtId="0" fontId="5" fillId="4" borderId="0" xfId="0" applyFont="1" applyFill="1"/>
    <xf numFmtId="0" fontId="0" fillId="4" borderId="0" xfId="0" applyFill="1"/>
    <xf numFmtId="164" fontId="5" fillId="4" borderId="0" xfId="0" applyNumberFormat="1" applyFont="1" applyFill="1"/>
    <xf numFmtId="170" fontId="7" fillId="0" borderId="1" xfId="0" applyNumberFormat="1" applyFont="1" applyBorder="1"/>
    <xf numFmtId="171" fontId="7" fillId="0" borderId="1" xfId="0" applyNumberFormat="1" applyFont="1" applyBorder="1"/>
    <xf numFmtId="0" fontId="3" fillId="6" borderId="0" xfId="0" applyFont="1" applyFill="1"/>
    <xf numFmtId="172" fontId="3" fillId="5" borderId="1" xfId="0" applyNumberFormat="1" applyFont="1" applyFill="1" applyBorder="1" applyAlignment="1">
      <alignment horizontal="center"/>
    </xf>
    <xf numFmtId="173" fontId="3" fillId="5" borderId="1" xfId="0" applyNumberFormat="1" applyFont="1" applyFill="1" applyBorder="1"/>
    <xf numFmtId="174" fontId="4" fillId="0" borderId="1" xfId="0" applyNumberFormat="1" applyFont="1" applyBorder="1"/>
    <xf numFmtId="0" fontId="8" fillId="0" borderId="0" xfId="0" applyFont="1"/>
    <xf numFmtId="0" fontId="5" fillId="4" borderId="0" xfId="0" applyFont="1" applyFill="1" applyAlignment="1">
      <alignment horizontal="center" vertical="center" wrapText="1"/>
    </xf>
    <xf numFmtId="175" fontId="3" fillId="5" borderId="1" xfId="0" applyNumberFormat="1" applyFont="1" applyFill="1" applyBorder="1"/>
    <xf numFmtId="176" fontId="4" fillId="0" borderId="1" xfId="0" applyNumberFormat="1" applyFont="1" applyBorder="1"/>
    <xf numFmtId="175" fontId="3" fillId="7" borderId="1" xfId="0" applyNumberFormat="1" applyFont="1" applyFill="1" applyBorder="1"/>
    <xf numFmtId="174" fontId="3" fillId="0" borderId="1" xfId="0" applyNumberFormat="1" applyFont="1" applyBorder="1"/>
    <xf numFmtId="176" fontId="3" fillId="0" borderId="1" xfId="0" applyNumberFormat="1" applyFont="1" applyBorder="1"/>
    <xf numFmtId="0" fontId="3" fillId="5" borderId="1" xfId="0" applyFont="1" applyFill="1" applyBorder="1" applyAlignment="1">
      <alignment horizontal="center" wrapText="1"/>
    </xf>
    <xf numFmtId="0" fontId="4" fillId="0" borderId="1" xfId="0" applyFont="1" applyBorder="1" applyAlignment="1">
      <alignment horizontal="center"/>
    </xf>
    <xf numFmtId="174" fontId="0" fillId="0" borderId="1" xfId="0" applyNumberFormat="1" applyBorder="1"/>
    <xf numFmtId="0" fontId="5" fillId="4" borderId="0" xfId="0" applyFont="1" applyFill="1" applyAlignment="1">
      <alignment horizontal="center"/>
    </xf>
    <xf numFmtId="177" fontId="7" fillId="0" borderId="1" xfId="0" applyNumberFormat="1" applyFont="1" applyBorder="1"/>
    <xf numFmtId="178" fontId="7" fillId="0" borderId="1" xfId="0" applyNumberFormat="1" applyFont="1" applyBorder="1"/>
    <xf numFmtId="174" fontId="7" fillId="0" borderId="1" xfId="0" applyNumberFormat="1" applyFont="1" applyBorder="1"/>
    <xf numFmtId="0" fontId="3" fillId="5" borderId="0" xfId="0" applyFont="1" applyFill="1"/>
    <xf numFmtId="174" fontId="4" fillId="5" borderId="1" xfId="0" applyNumberFormat="1" applyFont="1" applyFill="1" applyBorder="1"/>
    <xf numFmtId="179" fontId="7" fillId="0" borderId="1" xfId="0" applyNumberFormat="1" applyFont="1" applyBorder="1"/>
    <xf numFmtId="179" fontId="4" fillId="0" borderId="1" xfId="0" applyNumberFormat="1" applyFont="1" applyBorder="1"/>
    <xf numFmtId="0" fontId="3" fillId="0" borderId="0" xfId="0" applyFont="1"/>
    <xf numFmtId="180" fontId="7" fillId="0" borderId="1" xfId="0" applyNumberFormat="1" applyFont="1" applyBorder="1"/>
    <xf numFmtId="0" fontId="3" fillId="4" borderId="0" xfId="0" applyFont="1" applyFill="1"/>
    <xf numFmtId="174" fontId="5" fillId="4" borderId="1" xfId="0" applyNumberFormat="1" applyFont="1" applyFill="1" applyBorder="1"/>
    <xf numFmtId="180" fontId="4" fillId="0" borderId="1" xfId="0" applyNumberFormat="1" applyFont="1" applyBorder="1"/>
    <xf numFmtId="181" fontId="4" fillId="0" borderId="1" xfId="0" applyNumberFormat="1" applyFont="1" applyBorder="1"/>
    <xf numFmtId="181" fontId="4" fillId="5" borderId="1" xfId="0" applyNumberFormat="1" applyFont="1" applyFill="1" applyBorder="1"/>
    <xf numFmtId="181" fontId="0" fillId="0" borderId="0" xfId="0" applyNumberFormat="1"/>
    <xf numFmtId="182" fontId="7" fillId="0" borderId="1" xfId="0" applyNumberFormat="1" applyFont="1" applyBorder="1"/>
    <xf numFmtId="177" fontId="4" fillId="0" borderId="1" xfId="0" applyNumberFormat="1" applyFont="1" applyBorder="1"/>
    <xf numFmtId="183" fontId="7" fillId="0" borderId="1" xfId="0" applyNumberFormat="1" applyFont="1" applyBorder="1"/>
    <xf numFmtId="184" fontId="4" fillId="0" borderId="1" xfId="0" applyNumberFormat="1" applyFont="1" applyBorder="1"/>
    <xf numFmtId="172" fontId="4" fillId="0" borderId="1" xfId="0" applyNumberFormat="1" applyFont="1" applyBorder="1"/>
    <xf numFmtId="0" fontId="3" fillId="9" borderId="0" xfId="0" applyFont="1" applyFill="1"/>
    <xf numFmtId="181" fontId="4" fillId="9" borderId="1" xfId="0" applyNumberFormat="1" applyFont="1" applyFill="1" applyBorder="1"/>
    <xf numFmtId="174" fontId="4" fillId="0" borderId="1" xfId="0" applyNumberFormat="1" applyFont="1" applyBorder="1" applyAlignment="1">
      <alignment horizontal="center"/>
    </xf>
    <xf numFmtId="174" fontId="3" fillId="5" borderId="1" xfId="0" applyNumberFormat="1" applyFont="1" applyFill="1" applyBorder="1" applyAlignment="1">
      <alignment horizontal="center"/>
    </xf>
    <xf numFmtId="181" fontId="3" fillId="9" borderId="1" xfId="0" applyNumberFormat="1" applyFont="1" applyFill="1" applyBorder="1" applyAlignment="1">
      <alignment horizontal="center"/>
    </xf>
    <xf numFmtId="174" fontId="0" fillId="0" borderId="0" xfId="0" applyNumberFormat="1"/>
    <xf numFmtId="174" fontId="4" fillId="0" borderId="0" xfId="0" applyNumberFormat="1" applyFont="1"/>
  </cellXfs>
  <cellStyles count="1">
    <cellStyle name="Normal" xfId="0" builtinId="0"/>
  </cellStyles>
  <dxfs count="0"/>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800000"/>
      <rgbColor rgb="FF008000"/>
      <rgbColor rgb="FF000080"/>
      <rgbColor rgb="FF548235"/>
      <rgbColor rgb="FF800080"/>
      <rgbColor rgb="FF008080"/>
      <rgbColor rgb="FFBFBFBF"/>
      <rgbColor rgb="FF808080"/>
      <rgbColor rgb="FF9999FF"/>
      <rgbColor rgb="FFC0504D"/>
      <rgbColor rgb="FFFFF2CC"/>
      <rgbColor rgb="FFD9E1F2"/>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E2EFDA"/>
      <rgbColor rgb="FFFFE699"/>
      <rgbColor rgb="FF99CCFF"/>
      <rgbColor rgb="FFFF99CC"/>
      <rgbColor rgb="FFCC99FF"/>
      <rgbColor rgb="FFFFCC99"/>
      <rgbColor rgb="FF4F81BD"/>
      <rgbColor rgb="FF4BACC6"/>
      <rgbColor rgb="FF9BBB59"/>
      <rgbColor rgb="FFFFC000"/>
      <rgbColor rgb="FFFF9900"/>
      <rgbColor rgb="FFFF6600"/>
      <rgbColor rgb="FF8064A2"/>
      <rgbColor rgb="FFB3B3B3"/>
      <rgbColor rgb="FF1F3864"/>
      <rgbColor rgb="FF00B050"/>
      <rgbColor rgb="FF003300"/>
      <rgbColor rgb="FF333300"/>
      <rgbColor rgb="FF993300"/>
      <rgbColor rgb="FF993366"/>
      <rgbColor rgb="FF2E5395"/>
      <rgbColor rgb="FF595959"/>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c:style val="2"/>
  <c:chart>
    <c:title>
      <c:tx>
        <c:rich>
          <a:bodyPr rot="0"/>
          <a:lstStyle/>
          <a:p>
            <a:pPr>
              <a:defRPr sz="1800" b="1" strike="noStrike" spc="-1">
                <a:solidFill>
                  <a:srgbClr val="000000"/>
                </a:solidFill>
                <a:latin typeface="Calibri"/>
              </a:defRPr>
            </a:pPr>
            <a:r>
              <a:rPr lang="es-MX" sz="1800" b="1" strike="noStrike" spc="-1">
                <a:solidFill>
                  <a:srgbClr val="000000"/>
                </a:solidFill>
                <a:latin typeface="Calibri"/>
              </a:rPr>
              <a:t>Growth Multiple Needed to Break Even (ROI = 0), vs. Today's Enrollment</a:t>
            </a:r>
          </a:p>
        </c:rich>
      </c:tx>
      <c:overlay val="0"/>
      <c:spPr>
        <a:noFill/>
        <a:ln w="0">
          <a:noFill/>
        </a:ln>
      </c:spPr>
    </c:title>
    <c:autoTitleDeleted val="0"/>
    <c:plotArea>
      <c:layout/>
      <c:barChart>
        <c:barDir val="col"/>
        <c:grouping val="clustered"/>
        <c:varyColors val="0"/>
        <c:ser>
          <c:idx val="0"/>
          <c:order val="0"/>
          <c:tx>
            <c:strRef>
              <c:f>'ROI &amp; Breakeven'!$C$58</c:f>
              <c:strCache>
                <c:ptCount val="1"/>
                <c:pt idx="0">
                  <c:v>Low Case</c:v>
                </c:pt>
              </c:strCache>
            </c:strRef>
          </c:tx>
          <c:spPr>
            <a:solidFill>
              <a:srgbClr val="4F81BD"/>
            </a:solidFill>
            <a:ln w="0">
              <a:noFill/>
            </a:ln>
          </c:spPr>
          <c:invertIfNegative val="0"/>
          <c:cat>
            <c:strRef>
              <c:f>'ROI &amp; Breakeven'!$B$59:$B$62</c:f>
              <c:strCache>
                <c:ptCount val="4"/>
                <c:pt idx="0">
                  <c:v>Webinar</c:v>
                </c:pt>
                <c:pt idx="1">
                  <c:v>Workshop</c:v>
                </c:pt>
                <c:pt idx="2">
                  <c:v>Evergreen course</c:v>
                </c:pt>
                <c:pt idx="3">
                  <c:v>Blended (uniform growth)</c:v>
                </c:pt>
              </c:strCache>
            </c:strRef>
          </c:cat>
          <c:val>
            <c:numRef>
              <c:f>'ROI &amp; Breakeven'!$C$59:$C$62</c:f>
              <c:numCache>
                <c:formatCode>0.00\x</c:formatCode>
                <c:ptCount val="4"/>
                <c:pt idx="0">
                  <c:v>20.439382716049384</c:v>
                </c:pt>
                <c:pt idx="1">
                  <c:v>25.699450980392157</c:v>
                </c:pt>
                <c:pt idx="2">
                  <c:v>6.3710942829853998</c:v>
                </c:pt>
                <c:pt idx="3">
                  <c:v>4.5956931789637139</c:v>
                </c:pt>
              </c:numCache>
            </c:numRef>
          </c:val>
          <c:extLst>
            <c:ext xmlns:c16="http://schemas.microsoft.com/office/drawing/2014/chart" uri="{C3380CC4-5D6E-409C-BE32-E72D297353CC}">
              <c16:uniqueId val="{00000000-34E3-47A0-A18D-4031B7C62518}"/>
            </c:ext>
          </c:extLst>
        </c:ser>
        <c:ser>
          <c:idx val="1"/>
          <c:order val="1"/>
          <c:tx>
            <c:strRef>
              <c:f>'ROI &amp; Breakeven'!$D$58</c:f>
              <c:strCache>
                <c:ptCount val="1"/>
                <c:pt idx="0">
                  <c:v>High Case</c:v>
                </c:pt>
              </c:strCache>
            </c:strRef>
          </c:tx>
          <c:spPr>
            <a:solidFill>
              <a:srgbClr val="C0504D"/>
            </a:solidFill>
            <a:ln w="0">
              <a:noFill/>
            </a:ln>
          </c:spPr>
          <c:invertIfNegative val="0"/>
          <c:cat>
            <c:strRef>
              <c:f>'ROI &amp; Breakeven'!$B$59:$B$62</c:f>
              <c:strCache>
                <c:ptCount val="4"/>
                <c:pt idx="0">
                  <c:v>Webinar</c:v>
                </c:pt>
                <c:pt idx="1">
                  <c:v>Workshop</c:v>
                </c:pt>
                <c:pt idx="2">
                  <c:v>Evergreen course</c:v>
                </c:pt>
                <c:pt idx="3">
                  <c:v>Blended (uniform growth)</c:v>
                </c:pt>
              </c:strCache>
            </c:strRef>
          </c:cat>
          <c:val>
            <c:numRef>
              <c:f>'ROI &amp; Breakeven'!$D$59:$D$62</c:f>
              <c:numCache>
                <c:formatCode>0.00\x</c:formatCode>
                <c:ptCount val="4"/>
                <c:pt idx="0">
                  <c:v>12.080296296296297</c:v>
                </c:pt>
                <c:pt idx="1">
                  <c:v>12.732078431372548</c:v>
                </c:pt>
                <c:pt idx="2">
                  <c:v>6.1024696411515889</c:v>
                </c:pt>
                <c:pt idx="3">
                  <c:v>3.6920059028902563</c:v>
                </c:pt>
              </c:numCache>
            </c:numRef>
          </c:val>
          <c:extLst>
            <c:ext xmlns:c16="http://schemas.microsoft.com/office/drawing/2014/chart" uri="{C3380CC4-5D6E-409C-BE32-E72D297353CC}">
              <c16:uniqueId val="{00000001-34E3-47A0-A18D-4031B7C62518}"/>
            </c:ext>
          </c:extLst>
        </c:ser>
        <c:dLbls>
          <c:showLegendKey val="0"/>
          <c:showVal val="0"/>
          <c:showCatName val="0"/>
          <c:showSerName val="0"/>
          <c:showPercent val="0"/>
          <c:showBubbleSize val="0"/>
        </c:dLbls>
        <c:gapWidth val="150"/>
        <c:axId val="83935427"/>
        <c:axId val="36220894"/>
      </c:barChart>
      <c:catAx>
        <c:axId val="83935427"/>
        <c:scaling>
          <c:orientation val="minMax"/>
        </c:scaling>
        <c:delete val="0"/>
        <c:axPos val="b"/>
        <c:title>
          <c:tx>
            <c:rich>
              <a:bodyPr rot="0"/>
              <a:lstStyle/>
              <a:p>
                <a:pPr>
                  <a:defRPr sz="1000" b="1" strike="noStrike" spc="-1">
                    <a:solidFill>
                      <a:srgbClr val="000000"/>
                    </a:solidFill>
                    <a:latin typeface="Calibri"/>
                  </a:defRPr>
                </a:pPr>
                <a:r>
                  <a:rPr lang="es-MX" sz="1000" b="1" strike="noStrike" spc="-1">
                    <a:solidFill>
                      <a:srgbClr val="000000"/>
                    </a:solidFill>
                    <a:latin typeface="Calibri"/>
                  </a:rPr>
                  <a:t>Channel</a:t>
                </a:r>
              </a:p>
            </c:rich>
          </c:tx>
          <c:overlay val="0"/>
          <c:spPr>
            <a:noFill/>
            <a:ln w="0">
              <a:noFill/>
            </a:ln>
          </c:spPr>
        </c:title>
        <c:numFmt formatCode="General" sourceLinked="0"/>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s-MX"/>
          </a:p>
        </c:txPr>
        <c:crossAx val="36220894"/>
        <c:crosses val="autoZero"/>
        <c:auto val="1"/>
        <c:lblAlgn val="ctr"/>
        <c:lblOffset val="100"/>
        <c:noMultiLvlLbl val="0"/>
      </c:catAx>
      <c:valAx>
        <c:axId val="36220894"/>
        <c:scaling>
          <c:orientation val="minMax"/>
        </c:scaling>
        <c:delete val="0"/>
        <c:axPos val="l"/>
        <c:majorGridlines>
          <c:spPr>
            <a:ln w="0">
              <a:solidFill>
                <a:srgbClr val="B3B3B3"/>
              </a:solidFill>
            </a:ln>
          </c:spPr>
        </c:majorGridlines>
        <c:title>
          <c:tx>
            <c:rich>
              <a:bodyPr rot="-5400000"/>
              <a:lstStyle/>
              <a:p>
                <a:pPr>
                  <a:defRPr sz="1000" b="1" strike="noStrike" spc="-1">
                    <a:solidFill>
                      <a:srgbClr val="000000"/>
                    </a:solidFill>
                    <a:latin typeface="Calibri"/>
                  </a:defRPr>
                </a:pPr>
                <a:r>
                  <a:rPr lang="es-MX" sz="1000" b="1" strike="noStrike" spc="-1">
                    <a:solidFill>
                      <a:srgbClr val="000000"/>
                    </a:solidFill>
                    <a:latin typeface="Calibri"/>
                  </a:rPr>
                  <a:t>Multiple of current enrollment (x)</a:t>
                </a:r>
              </a:p>
            </c:rich>
          </c:tx>
          <c:overlay val="0"/>
          <c:spPr>
            <a:noFill/>
            <a:ln w="0">
              <a:noFill/>
            </a:ln>
          </c:spPr>
        </c:title>
        <c:numFmt formatCode="0.00\x" sourceLinked="0"/>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s-MX"/>
          </a:p>
        </c:txPr>
        <c:crossAx val="83935427"/>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s-MX"/>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c:style val="2"/>
  <c:chart>
    <c:title>
      <c:tx>
        <c:rich>
          <a:bodyPr rot="0"/>
          <a:lstStyle/>
          <a:p>
            <a:pPr>
              <a:defRPr sz="1800" b="1" strike="noStrike" spc="-1">
                <a:solidFill>
                  <a:srgbClr val="000000"/>
                </a:solidFill>
                <a:latin typeface="Calibri"/>
              </a:defRPr>
            </a:pPr>
            <a:r>
              <a:rPr lang="es-MX" sz="1800" b="1" strike="noStrike" spc="-1">
                <a:solidFill>
                  <a:srgbClr val="000000"/>
                </a:solidFill>
                <a:latin typeface="Calibri"/>
              </a:rPr>
              <a:t>Net Position: Original Staffing vs. Prudent Scenario</a:t>
            </a:r>
          </a:p>
        </c:rich>
      </c:tx>
      <c:overlay val="0"/>
      <c:spPr>
        <a:noFill/>
        <a:ln w="0">
          <a:noFill/>
        </a:ln>
      </c:spPr>
    </c:title>
    <c:autoTitleDeleted val="0"/>
    <c:plotArea>
      <c:layout/>
      <c:barChart>
        <c:barDir val="col"/>
        <c:grouping val="clustered"/>
        <c:varyColors val="0"/>
        <c:ser>
          <c:idx val="0"/>
          <c:order val="0"/>
          <c:tx>
            <c:strRef>
              <c:f>'Prudent Scenario'!$C$59</c:f>
              <c:strCache>
                <c:ptCount val="1"/>
                <c:pt idx="0">
                  <c:v>Net Position</c:v>
                </c:pt>
              </c:strCache>
            </c:strRef>
          </c:tx>
          <c:spPr>
            <a:solidFill>
              <a:srgbClr val="4F81BD"/>
            </a:solidFill>
            <a:ln w="0">
              <a:noFill/>
            </a:ln>
          </c:spPr>
          <c:invertIfNegative val="0"/>
          <c:dLbls>
            <c:spPr>
              <a:noFill/>
              <a:ln>
                <a:noFill/>
              </a:ln>
              <a:effectLst/>
            </c:spPr>
            <c:txPr>
              <a:bodyPr wrap="square"/>
              <a:lstStyle/>
              <a:p>
                <a:pPr>
                  <a:defRPr sz="1000" b="0" strike="noStrike" spc="-1">
                    <a:solidFill>
                      <a:srgbClr val="000000"/>
                    </a:solidFill>
                    <a:latin typeface="Arial"/>
                  </a:defRPr>
                </a:pPr>
                <a:endParaRPr lang="es-MX"/>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'Prudent Scenario'!$B$60:$B$62</c:f>
              <c:strCache>
                <c:ptCount val="3"/>
                <c:pt idx="0">
                  <c:v>Original (Low Case)</c:v>
                </c:pt>
                <c:pt idx="1">
                  <c:v>Prudent — Conservative</c:v>
                </c:pt>
                <c:pt idx="2">
                  <c:v>Prudent — Stretch</c:v>
                </c:pt>
              </c:strCache>
            </c:strRef>
          </c:cat>
          <c:val>
            <c:numRef>
              <c:f>'Prudent Scenario'!$C$60:$C$62</c:f>
              <c:numCache>
                <c:formatCode>\$#,##0;"($"#,##0\)</c:formatCode>
                <c:ptCount val="3"/>
                <c:pt idx="0">
                  <c:v>-31491.8</c:v>
                </c:pt>
                <c:pt idx="1">
                  <c:v>-13428.599999999999</c:v>
                </c:pt>
                <c:pt idx="2">
                  <c:v>-7295.4000000000015</c:v>
                </c:pt>
              </c:numCache>
            </c:numRef>
          </c:val>
          <c:extLst>
            <c:ext xmlns:c16="http://schemas.microsoft.com/office/drawing/2014/chart" uri="{C3380CC4-5D6E-409C-BE32-E72D297353CC}">
              <c16:uniqueId val="{00000000-BCF5-4382-9DF0-A366B6E9B906}"/>
            </c:ext>
          </c:extLst>
        </c:ser>
        <c:dLbls>
          <c:showLegendKey val="0"/>
          <c:showVal val="0"/>
          <c:showCatName val="0"/>
          <c:showSerName val="0"/>
          <c:showPercent val="0"/>
          <c:showBubbleSize val="0"/>
        </c:dLbls>
        <c:gapWidth val="150"/>
        <c:axId val="28364513"/>
        <c:axId val="20702696"/>
      </c:barChart>
      <c:catAx>
        <c:axId val="28364513"/>
        <c:scaling>
          <c:orientation val="minMax"/>
        </c:scaling>
        <c:delete val="0"/>
        <c:axPos val="b"/>
        <c:numFmt formatCode="General" sourceLinked="0"/>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s-MX"/>
          </a:p>
        </c:txPr>
        <c:crossAx val="20702696"/>
        <c:crosses val="autoZero"/>
        <c:auto val="1"/>
        <c:lblAlgn val="ctr"/>
        <c:lblOffset val="100"/>
        <c:noMultiLvlLbl val="0"/>
      </c:catAx>
      <c:valAx>
        <c:axId val="20702696"/>
        <c:scaling>
          <c:orientation val="minMax"/>
        </c:scaling>
        <c:delete val="0"/>
        <c:axPos val="l"/>
        <c:majorGridlines>
          <c:spPr>
            <a:ln w="0">
              <a:solidFill>
                <a:srgbClr val="B3B3B3"/>
              </a:solidFill>
            </a:ln>
          </c:spPr>
        </c:majorGridlines>
        <c:title>
          <c:tx>
            <c:rich>
              <a:bodyPr rot="-5400000"/>
              <a:lstStyle/>
              <a:p>
                <a:pPr>
                  <a:defRPr sz="1000" b="1" strike="noStrike" spc="-1">
                    <a:solidFill>
                      <a:srgbClr val="000000"/>
                    </a:solidFill>
                    <a:latin typeface="Calibri"/>
                  </a:defRPr>
                </a:pPr>
                <a:r>
                  <a:rPr lang="es-MX" sz="1000" b="1" strike="noStrike" spc="-1">
                    <a:solidFill>
                      <a:srgbClr val="000000"/>
                    </a:solidFill>
                    <a:latin typeface="Calibri"/>
                  </a:rPr>
                  <a:t>Net Position (CAD)</a:t>
                </a:r>
              </a:p>
            </c:rich>
          </c:tx>
          <c:overlay val="0"/>
          <c:spPr>
            <a:noFill/>
            <a:ln w="0">
              <a:noFill/>
            </a:ln>
          </c:spPr>
        </c:title>
        <c:numFmt formatCode="\$#,##0;&quot;($&quot;#,##0\)" sourceLinked="0"/>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s-MX"/>
          </a:p>
        </c:txPr>
        <c:crossAx val="28364513"/>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c:style val="2"/>
  <c:chart>
    <c:title>
      <c:tx>
        <c:rich>
          <a:bodyPr rot="0"/>
          <a:lstStyle/>
          <a:p>
            <a:pPr>
              <a:defRPr sz="1800" b="1" strike="noStrike" spc="-1">
                <a:solidFill>
                  <a:srgbClr val="000000"/>
                </a:solidFill>
                <a:latin typeface="Calibri"/>
              </a:defRPr>
            </a:pPr>
            <a:r>
              <a:rPr lang="es-MX" sz="1800" b="1" strike="noStrike" spc="-1">
                <a:solidFill>
                  <a:srgbClr val="000000"/>
                </a:solidFill>
                <a:latin typeface="Calibri"/>
              </a:rPr>
              <a:t>Cost Composition — Base Case</a:t>
            </a:r>
          </a:p>
        </c:rich>
      </c:tx>
      <c:overlay val="0"/>
      <c:spPr>
        <a:noFill/>
        <a:ln w="0">
          <a:noFill/>
        </a:ln>
      </c:spPr>
    </c:title>
    <c:autoTitleDeleted val="0"/>
    <c:plotArea>
      <c:layout/>
      <c:pieChart>
        <c:varyColors val="1"/>
        <c:ser>
          <c:idx val="0"/>
          <c:order val="0"/>
          <c:tx>
            <c:strRef>
              <c:f>Dashboard!$C$7</c:f>
              <c:strCache>
                <c:ptCount val="1"/>
                <c:pt idx="0">
                  <c:v>Amount</c:v>
                </c:pt>
              </c:strCache>
            </c:strRef>
          </c:tx>
          <c:spPr>
            <a:solidFill>
              <a:srgbClr val="4F81BD"/>
            </a:solidFill>
            <a:ln w="0">
              <a:noFill/>
            </a:ln>
          </c:spPr>
          <c:dPt>
            <c:idx val="0"/>
            <c:bubble3D val="0"/>
            <c:spPr>
              <a:solidFill>
                <a:srgbClr val="4F81BD"/>
              </a:solidFill>
              <a:ln w="0">
                <a:noFill/>
              </a:ln>
            </c:spPr>
            <c:extLst>
              <c:ext xmlns:c16="http://schemas.microsoft.com/office/drawing/2014/chart" uri="{C3380CC4-5D6E-409C-BE32-E72D297353CC}">
                <c16:uniqueId val="{00000001-4764-4DBD-B96F-57C11B993FAB}"/>
              </c:ext>
            </c:extLst>
          </c:dPt>
          <c:dPt>
            <c:idx val="1"/>
            <c:bubble3D val="0"/>
            <c:spPr>
              <a:solidFill>
                <a:srgbClr val="C0504D"/>
              </a:solidFill>
              <a:ln w="0">
                <a:noFill/>
              </a:ln>
            </c:spPr>
            <c:extLst>
              <c:ext xmlns:c16="http://schemas.microsoft.com/office/drawing/2014/chart" uri="{C3380CC4-5D6E-409C-BE32-E72D297353CC}">
                <c16:uniqueId val="{00000003-4764-4DBD-B96F-57C11B993FAB}"/>
              </c:ext>
            </c:extLst>
          </c:dPt>
          <c:dPt>
            <c:idx val="2"/>
            <c:bubble3D val="0"/>
            <c:spPr>
              <a:solidFill>
                <a:srgbClr val="9BBB59"/>
              </a:solidFill>
              <a:ln w="0">
                <a:noFill/>
              </a:ln>
            </c:spPr>
            <c:extLst>
              <c:ext xmlns:c16="http://schemas.microsoft.com/office/drawing/2014/chart" uri="{C3380CC4-5D6E-409C-BE32-E72D297353CC}">
                <c16:uniqueId val="{00000005-4764-4DBD-B96F-57C11B993FAB}"/>
              </c:ext>
            </c:extLst>
          </c:dPt>
          <c:dPt>
            <c:idx val="3"/>
            <c:bubble3D val="0"/>
            <c:spPr>
              <a:solidFill>
                <a:srgbClr val="8064A2"/>
              </a:solidFill>
              <a:ln w="0">
                <a:noFill/>
              </a:ln>
            </c:spPr>
            <c:extLst>
              <c:ext xmlns:c16="http://schemas.microsoft.com/office/drawing/2014/chart" uri="{C3380CC4-5D6E-409C-BE32-E72D297353CC}">
                <c16:uniqueId val="{00000007-4764-4DBD-B96F-57C11B993FAB}"/>
              </c:ext>
            </c:extLst>
          </c:dPt>
          <c:dPt>
            <c:idx val="4"/>
            <c:bubble3D val="0"/>
            <c:spPr>
              <a:solidFill>
                <a:srgbClr val="4BACC6"/>
              </a:solidFill>
              <a:ln w="0">
                <a:noFill/>
              </a:ln>
            </c:spPr>
            <c:extLst>
              <c:ext xmlns:c16="http://schemas.microsoft.com/office/drawing/2014/chart" uri="{C3380CC4-5D6E-409C-BE32-E72D297353CC}">
                <c16:uniqueId val="{00000009-4764-4DBD-B96F-57C11B993FAB}"/>
              </c:ext>
            </c:extLst>
          </c:dPt>
          <c:dLbls>
            <c:dLbl>
              <c:idx val="0"/>
              <c:spPr/>
              <c:txPr>
                <a:bodyPr wrap="square"/>
                <a:lstStyle/>
                <a:p>
                  <a:pPr>
                    <a:defRPr sz="1000" b="0" strike="noStrike" spc="-1">
                      <a:solidFill>
                        <a:srgbClr val="000000"/>
                      </a:solidFill>
                      <a:latin typeface="Calibri"/>
                    </a:defRPr>
                  </a:pPr>
                  <a:endParaRPr lang="es-MX"/>
                </a:p>
              </c:txPr>
              <c:dLblPos val="bestFit"/>
              <c:showLegendKey val="1"/>
              <c:showVal val="1"/>
              <c:showCatName val="1"/>
              <c:showSerName val="1"/>
              <c:showPercent val="1"/>
              <c:showBubbleSize val="1"/>
              <c:extLst>
                <c:ext xmlns:c16="http://schemas.microsoft.com/office/drawing/2014/chart" uri="{C3380CC4-5D6E-409C-BE32-E72D297353CC}">
                  <c16:uniqueId val="{00000001-4764-4DBD-B96F-57C11B993FAB}"/>
                </c:ext>
              </c:extLst>
            </c:dLbl>
            <c:dLbl>
              <c:idx val="1"/>
              <c:layout>
                <c:manualLayout>
                  <c:x val="-9.9462587329558941E-2"/>
                  <c:y val="5.7370707501405868E-2"/>
                </c:manualLayout>
              </c:layout>
              <c:spPr/>
              <c:txPr>
                <a:bodyPr wrap="square"/>
                <a:lstStyle/>
                <a:p>
                  <a:pPr>
                    <a:defRPr sz="1000" b="0" strike="noStrike" spc="-1">
                      <a:solidFill>
                        <a:srgbClr val="000000"/>
                      </a:solidFill>
                      <a:latin typeface="Calibri"/>
                    </a:defRPr>
                  </a:pPr>
                  <a:endParaRPr lang="es-MX"/>
                </a:p>
              </c:txPr>
              <c:dLblPos val="bestFit"/>
              <c:showLegendKey val="1"/>
              <c:showVal val="1"/>
              <c:showCatName val="1"/>
              <c:showSerName val="1"/>
              <c:showPercent val="1"/>
              <c:showBubbleSize val="1"/>
              <c:separator>; </c:separator>
              <c:extLst>
                <c:ext xmlns:c15="http://schemas.microsoft.com/office/drawing/2012/chart" uri="{CE6537A1-D6FC-4f65-9D91-7224C49458BB}"/>
                <c:ext xmlns:c16="http://schemas.microsoft.com/office/drawing/2014/chart" uri="{C3380CC4-5D6E-409C-BE32-E72D297353CC}">
                  <c16:uniqueId val="{00000003-4764-4DBD-B96F-57C11B993FAB}"/>
                </c:ext>
              </c:extLst>
            </c:dLbl>
            <c:dLbl>
              <c:idx val="2"/>
              <c:layout>
                <c:manualLayout>
                  <c:x val="-0.14674865334383164"/>
                  <c:y val="0.42754738201615344"/>
                </c:manualLayout>
              </c:layout>
              <c:spPr/>
              <c:txPr>
                <a:bodyPr wrap="square"/>
                <a:lstStyle/>
                <a:p>
                  <a:pPr>
                    <a:defRPr sz="1000" b="0" strike="noStrike" spc="-1">
                      <a:solidFill>
                        <a:srgbClr val="000000"/>
                      </a:solidFill>
                      <a:latin typeface="Calibri"/>
                    </a:defRPr>
                  </a:pPr>
                  <a:endParaRPr lang="es-MX"/>
                </a:p>
              </c:txPr>
              <c:dLblPos val="bestFit"/>
              <c:showLegendKey val="1"/>
              <c:showVal val="1"/>
              <c:showCatName val="1"/>
              <c:showSerName val="1"/>
              <c:showPercent val="1"/>
              <c:showBubbleSize val="1"/>
              <c:separator>; </c:separator>
              <c:extLst>
                <c:ext xmlns:c15="http://schemas.microsoft.com/office/drawing/2012/chart" uri="{CE6537A1-D6FC-4f65-9D91-7224C49458BB}"/>
                <c:ext xmlns:c16="http://schemas.microsoft.com/office/drawing/2014/chart" uri="{C3380CC4-5D6E-409C-BE32-E72D297353CC}">
                  <c16:uniqueId val="{00000005-4764-4DBD-B96F-57C11B993FAB}"/>
                </c:ext>
              </c:extLst>
            </c:dLbl>
            <c:dLbl>
              <c:idx val="3"/>
              <c:layout>
                <c:manualLayout>
                  <c:x val="-0.19549594024304384"/>
                  <c:y val="0.2679943518535684"/>
                </c:manualLayout>
              </c:layout>
              <c:spPr/>
              <c:txPr>
                <a:bodyPr wrap="square"/>
                <a:lstStyle/>
                <a:p>
                  <a:pPr>
                    <a:defRPr sz="1000" b="0" strike="noStrike" spc="-1">
                      <a:solidFill>
                        <a:srgbClr val="000000"/>
                      </a:solidFill>
                      <a:latin typeface="Calibri"/>
                    </a:defRPr>
                  </a:pPr>
                  <a:endParaRPr lang="es-MX"/>
                </a:p>
              </c:txPr>
              <c:dLblPos val="bestFit"/>
              <c:showLegendKey val="1"/>
              <c:showVal val="1"/>
              <c:showCatName val="1"/>
              <c:showSerName val="1"/>
              <c:showPercent val="1"/>
              <c:showBubbleSize val="1"/>
              <c:separator>; </c:separator>
              <c:extLst>
                <c:ext xmlns:c15="http://schemas.microsoft.com/office/drawing/2012/chart" uri="{CE6537A1-D6FC-4f65-9D91-7224C49458BB}"/>
                <c:ext xmlns:c16="http://schemas.microsoft.com/office/drawing/2014/chart" uri="{C3380CC4-5D6E-409C-BE32-E72D297353CC}">
                  <c16:uniqueId val="{00000007-4764-4DBD-B96F-57C11B993FAB}"/>
                </c:ext>
              </c:extLst>
            </c:dLbl>
            <c:dLbl>
              <c:idx val="4"/>
              <c:layout>
                <c:manualLayout>
                  <c:x val="-0.23688109015618294"/>
                  <c:y val="0.65365090252930669"/>
                </c:manualLayout>
              </c:layout>
              <c:spPr/>
              <c:txPr>
                <a:bodyPr wrap="square"/>
                <a:lstStyle/>
                <a:p>
                  <a:pPr>
                    <a:defRPr sz="1000" b="0" strike="noStrike" spc="-1">
                      <a:solidFill>
                        <a:srgbClr val="000000"/>
                      </a:solidFill>
                      <a:latin typeface="Calibri"/>
                    </a:defRPr>
                  </a:pPr>
                  <a:endParaRPr lang="es-MX"/>
                </a:p>
              </c:txPr>
              <c:dLblPos val="bestFit"/>
              <c:showLegendKey val="1"/>
              <c:showVal val="1"/>
              <c:showCatName val="1"/>
              <c:showSerName val="1"/>
              <c:showPercent val="1"/>
              <c:showBubbleSize val="1"/>
              <c:separator>; </c:separator>
              <c:extLst>
                <c:ext xmlns:c15="http://schemas.microsoft.com/office/drawing/2012/chart" uri="{CE6537A1-D6FC-4f65-9D91-7224C49458BB}"/>
                <c:ext xmlns:c16="http://schemas.microsoft.com/office/drawing/2014/chart" uri="{C3380CC4-5D6E-409C-BE32-E72D297353CC}">
                  <c16:uniqueId val="{00000009-4764-4DBD-B96F-57C11B993FAB}"/>
                </c:ext>
              </c:extLst>
            </c:dLbl>
            <c:spPr>
              <a:noFill/>
              <a:ln>
                <a:noFill/>
              </a:ln>
              <a:effectLst/>
            </c:spPr>
            <c:txPr>
              <a:bodyPr wrap="square"/>
              <a:lstStyle/>
              <a:p>
                <a:pPr>
                  <a:defRPr sz="1000" b="0" strike="noStrike" spc="-1">
                    <a:solidFill>
                      <a:srgbClr val="000000"/>
                    </a:solidFill>
                    <a:latin typeface="Calibri"/>
                  </a:defRPr>
                </a:pPr>
                <a:endParaRPr lang="es-MX"/>
              </a:p>
            </c:txPr>
            <c:dLblPos val="bestFit"/>
            <c:showLegendKey val="1"/>
            <c:showVal val="1"/>
            <c:showCatName val="1"/>
            <c:showSerName val="1"/>
            <c:showPercent val="1"/>
            <c:showBubbleSize val="1"/>
            <c:separator>; </c:separator>
            <c:showLeaderLines val="1"/>
            <c:extLst>
              <c:ext xmlns:c15="http://schemas.microsoft.com/office/drawing/2012/chart" uri="{CE6537A1-D6FC-4f65-9D91-7224C49458BB}"/>
            </c:extLst>
          </c:dLbls>
          <c:cat>
            <c:strRef>
              <c:f>Dashboard!$B$8:$B$12</c:f>
              <c:strCache>
                <c:ptCount val="5"/>
                <c:pt idx="0">
                  <c:v>Personnel</c:v>
                </c:pt>
                <c:pt idx="1">
                  <c:v>Platform &amp; Hosting</c:v>
                </c:pt>
                <c:pt idx="2">
                  <c:v>Communications</c:v>
                </c:pt>
                <c:pt idx="3">
                  <c:v>Presenter Honoraria</c:v>
                </c:pt>
                <c:pt idx="4">
                  <c:v>Assessor Honoraria</c:v>
                </c:pt>
              </c:strCache>
            </c:strRef>
          </c:cat>
          <c:val>
            <c:numRef>
              <c:f>Dashboard!$C$8:$C$12</c:f>
              <c:numCache>
                <c:formatCode>\$#,##0;"($"#,##0\)</c:formatCode>
                <c:ptCount val="5"/>
                <c:pt idx="0">
                  <c:v>38060</c:v>
                </c:pt>
                <c:pt idx="1">
                  <c:v>1200</c:v>
                </c:pt>
                <c:pt idx="2">
                  <c:v>300</c:v>
                </c:pt>
                <c:pt idx="3">
                  <c:v>750</c:v>
                </c:pt>
                <c:pt idx="4">
                  <c:v>136.79999999999998</c:v>
                </c:pt>
              </c:numCache>
            </c:numRef>
          </c:val>
          <c:extLst>
            <c:ext xmlns:c16="http://schemas.microsoft.com/office/drawing/2014/chart" uri="{C3380CC4-5D6E-409C-BE32-E72D297353CC}">
              <c16:uniqueId val="{0000000A-4764-4DBD-B96F-57C11B993FAB}"/>
            </c:ext>
          </c:extLst>
        </c:ser>
        <c:dLbls>
          <c:showLegendKey val="0"/>
          <c:showVal val="0"/>
          <c:showCatName val="0"/>
          <c:showSerName val="0"/>
          <c:showPercent val="0"/>
          <c:showBubbleSize val="0"/>
          <c:showLeaderLines val="1"/>
        </c:dLbls>
        <c:firstSliceAng val="0"/>
      </c:pieChart>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s-MX"/>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c:style val="2"/>
  <c:chart>
    <c:title>
      <c:tx>
        <c:rich>
          <a:bodyPr rot="0"/>
          <a:lstStyle/>
          <a:p>
            <a:pPr>
              <a:defRPr sz="1800" b="1" strike="noStrike" spc="-1">
                <a:solidFill>
                  <a:srgbClr val="000000"/>
                </a:solidFill>
                <a:latin typeface="Calibri"/>
              </a:defRPr>
            </a:pPr>
            <a:r>
              <a:rPr lang="es-MX" sz="1800" b="1" strike="noStrike" spc="-1">
                <a:solidFill>
                  <a:srgbClr val="000000"/>
                </a:solidFill>
                <a:latin typeface="Calibri"/>
              </a:rPr>
              <a:t>Net Position by Enrollment Scenario (Current Pricing)</a:t>
            </a:r>
          </a:p>
        </c:rich>
      </c:tx>
      <c:overlay val="0"/>
      <c:spPr>
        <a:noFill/>
        <a:ln w="0">
          <a:noFill/>
        </a:ln>
      </c:spPr>
    </c:title>
    <c:autoTitleDeleted val="0"/>
    <c:plotArea>
      <c:layout/>
      <c:barChart>
        <c:barDir val="col"/>
        <c:grouping val="clustered"/>
        <c:varyColors val="0"/>
        <c:ser>
          <c:idx val="0"/>
          <c:order val="0"/>
          <c:tx>
            <c:strRef>
              <c:f>Dashboard!$C$15</c:f>
              <c:strCache>
                <c:ptCount val="1"/>
                <c:pt idx="0">
                  <c:v>Net Position</c:v>
                </c:pt>
              </c:strCache>
            </c:strRef>
          </c:tx>
          <c:spPr>
            <a:solidFill>
              <a:srgbClr val="4F81BD"/>
            </a:solidFill>
            <a:ln w="0">
              <a:noFill/>
            </a:ln>
          </c:spPr>
          <c:invertIfNegative val="0"/>
          <c:dLbls>
            <c:spPr>
              <a:noFill/>
              <a:ln>
                <a:noFill/>
              </a:ln>
              <a:effectLst/>
            </c:spPr>
            <c:txPr>
              <a:bodyPr wrap="square"/>
              <a:lstStyle/>
              <a:p>
                <a:pPr>
                  <a:defRPr sz="1000" b="0" strike="noStrike" spc="-1">
                    <a:solidFill>
                      <a:srgbClr val="000000"/>
                    </a:solidFill>
                    <a:latin typeface="Arial"/>
                  </a:defRPr>
                </a:pPr>
                <a:endParaRPr lang="es-MX"/>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Dashboard!$B$16:$B$18</c:f>
              <c:strCache>
                <c:ptCount val="3"/>
                <c:pt idx="0">
                  <c:v>Low</c:v>
                </c:pt>
                <c:pt idx="1">
                  <c:v>Base</c:v>
                </c:pt>
                <c:pt idx="2">
                  <c:v>High</c:v>
                </c:pt>
              </c:strCache>
            </c:strRef>
          </c:cat>
          <c:val>
            <c:numRef>
              <c:f>Dashboard!$C$16:$C$18</c:f>
              <c:numCache>
                <c:formatCode>\$#,##0;"($"#,##0\)</c:formatCode>
                <c:ptCount val="3"/>
                <c:pt idx="0">
                  <c:v>-35930.9</c:v>
                </c:pt>
                <c:pt idx="1">
                  <c:v>-31551.800000000003</c:v>
                </c:pt>
                <c:pt idx="2">
                  <c:v>-27172.699999999997</c:v>
                </c:pt>
              </c:numCache>
            </c:numRef>
          </c:val>
          <c:extLst>
            <c:ext xmlns:c16="http://schemas.microsoft.com/office/drawing/2014/chart" uri="{C3380CC4-5D6E-409C-BE32-E72D297353CC}">
              <c16:uniqueId val="{00000000-5153-40EF-9A53-F80CE8CE9892}"/>
            </c:ext>
          </c:extLst>
        </c:ser>
        <c:dLbls>
          <c:showLegendKey val="0"/>
          <c:showVal val="0"/>
          <c:showCatName val="0"/>
          <c:showSerName val="0"/>
          <c:showPercent val="0"/>
          <c:showBubbleSize val="0"/>
        </c:dLbls>
        <c:gapWidth val="150"/>
        <c:axId val="17944318"/>
        <c:axId val="21967881"/>
      </c:barChart>
      <c:catAx>
        <c:axId val="17944318"/>
        <c:scaling>
          <c:orientation val="minMax"/>
        </c:scaling>
        <c:delete val="0"/>
        <c:axPos val="b"/>
        <c:title>
          <c:tx>
            <c:rich>
              <a:bodyPr rot="0"/>
              <a:lstStyle/>
              <a:p>
                <a:pPr>
                  <a:defRPr sz="1000" b="1" strike="noStrike" spc="-1">
                    <a:solidFill>
                      <a:srgbClr val="000000"/>
                    </a:solidFill>
                    <a:latin typeface="Calibri"/>
                  </a:defRPr>
                </a:pPr>
                <a:r>
                  <a:rPr lang="es-MX" sz="1000" b="1" strike="noStrike" spc="-1">
                    <a:solidFill>
                      <a:srgbClr val="000000"/>
                    </a:solidFill>
                    <a:latin typeface="Calibri"/>
                  </a:rPr>
                  <a:t>Scenario</a:t>
                </a:r>
              </a:p>
            </c:rich>
          </c:tx>
          <c:overlay val="0"/>
          <c:spPr>
            <a:noFill/>
            <a:ln w="0">
              <a:noFill/>
            </a:ln>
          </c:spPr>
        </c:title>
        <c:numFmt formatCode="General" sourceLinked="0"/>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s-MX"/>
          </a:p>
        </c:txPr>
        <c:crossAx val="21967881"/>
        <c:crosses val="autoZero"/>
        <c:auto val="1"/>
        <c:lblAlgn val="ctr"/>
        <c:lblOffset val="100"/>
        <c:noMultiLvlLbl val="0"/>
      </c:catAx>
      <c:valAx>
        <c:axId val="21967881"/>
        <c:scaling>
          <c:orientation val="minMax"/>
        </c:scaling>
        <c:delete val="0"/>
        <c:axPos val="l"/>
        <c:majorGridlines>
          <c:spPr>
            <a:ln w="0">
              <a:solidFill>
                <a:srgbClr val="B3B3B3"/>
              </a:solidFill>
            </a:ln>
          </c:spPr>
        </c:majorGridlines>
        <c:title>
          <c:tx>
            <c:rich>
              <a:bodyPr rot="-5400000"/>
              <a:lstStyle/>
              <a:p>
                <a:pPr>
                  <a:defRPr sz="1000" b="1" strike="noStrike" spc="-1">
                    <a:solidFill>
                      <a:srgbClr val="000000"/>
                    </a:solidFill>
                    <a:latin typeface="Calibri"/>
                  </a:defRPr>
                </a:pPr>
                <a:r>
                  <a:rPr lang="es-MX" sz="1000" b="1" strike="noStrike" spc="-1">
                    <a:solidFill>
                      <a:srgbClr val="000000"/>
                    </a:solidFill>
                    <a:latin typeface="Calibri"/>
                  </a:rPr>
                  <a:t>Net Position (CAD)</a:t>
                </a:r>
              </a:p>
            </c:rich>
          </c:tx>
          <c:overlay val="0"/>
          <c:spPr>
            <a:noFill/>
            <a:ln w="0">
              <a:noFill/>
            </a:ln>
          </c:spPr>
        </c:title>
        <c:numFmt formatCode="\$#,##0;&quot;($&quot;#,##0\)" sourceLinked="0"/>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s-MX"/>
          </a:p>
        </c:txPr>
        <c:crossAx val="17944318"/>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c:style val="2"/>
  <c:chart>
    <c:title>
      <c:tx>
        <c:rich>
          <a:bodyPr rot="0"/>
          <a:lstStyle/>
          <a:p>
            <a:pPr>
              <a:defRPr sz="1800" b="1" strike="noStrike" spc="-1">
                <a:solidFill>
                  <a:srgbClr val="000000"/>
                </a:solidFill>
                <a:latin typeface="Calibri"/>
              </a:defRPr>
            </a:pPr>
            <a:r>
              <a:rPr lang="es-MX" sz="1800" b="1" strike="noStrike" spc="-1">
                <a:solidFill>
                  <a:srgbClr val="000000"/>
                </a:solidFill>
                <a:latin typeface="Calibri"/>
              </a:rPr>
              <a:t>Total Budget Sensitivity by Variable (Low → High)</a:t>
            </a:r>
          </a:p>
        </c:rich>
      </c:tx>
      <c:overlay val="0"/>
      <c:spPr>
        <a:noFill/>
        <a:ln w="0">
          <a:noFill/>
        </a:ln>
      </c:spPr>
    </c:title>
    <c:autoTitleDeleted val="0"/>
    <c:plotArea>
      <c:layout/>
      <c:barChart>
        <c:barDir val="bar"/>
        <c:grouping val="clustered"/>
        <c:varyColors val="0"/>
        <c:ser>
          <c:idx val="0"/>
          <c:order val="0"/>
          <c:tx>
            <c:strRef>
              <c:f>Dashboard!$C$22</c:f>
              <c:strCache>
                <c:ptCount val="1"/>
                <c:pt idx="0">
                  <c:v>Low</c:v>
                </c:pt>
              </c:strCache>
            </c:strRef>
          </c:tx>
          <c:spPr>
            <a:solidFill>
              <a:srgbClr val="4F81BD"/>
            </a:solidFill>
            <a:ln w="0">
              <a:noFill/>
            </a:ln>
          </c:spPr>
          <c:invertIfNegative val="0"/>
          <c:dLbls>
            <c:spPr>
              <a:noFill/>
              <a:ln>
                <a:noFill/>
              </a:ln>
              <a:effectLst/>
            </c:spPr>
            <c:txPr>
              <a:bodyPr wrap="square"/>
              <a:lstStyle/>
              <a:p>
                <a:pPr>
                  <a:defRPr sz="1000" b="0" strike="noStrike" spc="-1">
                    <a:solidFill>
                      <a:srgbClr val="000000"/>
                    </a:solidFill>
                    <a:latin typeface="Arial"/>
                  </a:defRPr>
                </a:pPr>
                <a:endParaRPr lang="es-MX"/>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Dashboard!$B$23:$B$26</c:f>
              <c:strCache>
                <c:ptCount val="4"/>
                <c:pt idx="0">
                  <c:v>Personnel rate (±10%)</c:v>
                </c:pt>
                <c:pt idx="1">
                  <c:v>Course enrollment (50%–150%)</c:v>
                </c:pt>
                <c:pt idx="2">
                  <c:v>Assessor hrs/batch (1.0–2.5)</c:v>
                </c:pt>
                <c:pt idx="3">
                  <c:v>Open Call outcomes (sessions awarded)</c:v>
                </c:pt>
              </c:strCache>
            </c:strRef>
          </c:cat>
          <c:val>
            <c:numRef>
              <c:f>Dashboard!$C$23:$C$26</c:f>
              <c:numCache>
                <c:formatCode>\$#,##0;"($"#,##0\)</c:formatCode>
                <c:ptCount val="4"/>
                <c:pt idx="0">
                  <c:v>36640.800000000003</c:v>
                </c:pt>
                <c:pt idx="1">
                  <c:v>40378.400000000001</c:v>
                </c:pt>
                <c:pt idx="2">
                  <c:v>40401.199999999997</c:v>
                </c:pt>
                <c:pt idx="3">
                  <c:v>40446.800000000003</c:v>
                </c:pt>
              </c:numCache>
            </c:numRef>
          </c:val>
          <c:extLst>
            <c:ext xmlns:c16="http://schemas.microsoft.com/office/drawing/2014/chart" uri="{C3380CC4-5D6E-409C-BE32-E72D297353CC}">
              <c16:uniqueId val="{00000000-EF0A-4674-8E81-71AB3106FB82}"/>
            </c:ext>
          </c:extLst>
        </c:ser>
        <c:ser>
          <c:idx val="1"/>
          <c:order val="1"/>
          <c:tx>
            <c:strRef>
              <c:f>Dashboard!$D$22</c:f>
              <c:strCache>
                <c:ptCount val="1"/>
                <c:pt idx="0">
                  <c:v>High</c:v>
                </c:pt>
              </c:strCache>
            </c:strRef>
          </c:tx>
          <c:spPr>
            <a:solidFill>
              <a:srgbClr val="C0504D"/>
            </a:solidFill>
            <a:ln w="0">
              <a:noFill/>
            </a:ln>
          </c:spPr>
          <c:invertIfNegative val="0"/>
          <c:dLbls>
            <c:spPr>
              <a:noFill/>
              <a:ln>
                <a:noFill/>
              </a:ln>
              <a:effectLst/>
            </c:spPr>
            <c:txPr>
              <a:bodyPr wrap="square"/>
              <a:lstStyle/>
              <a:p>
                <a:pPr>
                  <a:defRPr sz="1000" b="0" strike="noStrike" spc="-1">
                    <a:solidFill>
                      <a:srgbClr val="000000"/>
                    </a:solidFill>
                    <a:latin typeface="Arial"/>
                  </a:defRPr>
                </a:pPr>
                <a:endParaRPr lang="es-MX"/>
              </a:p>
            </c:txPr>
            <c:dLblPos val="outEnd"/>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Dashboard!$B$23:$B$26</c:f>
              <c:strCache>
                <c:ptCount val="4"/>
                <c:pt idx="0">
                  <c:v>Personnel rate (±10%)</c:v>
                </c:pt>
                <c:pt idx="1">
                  <c:v>Course enrollment (50%–150%)</c:v>
                </c:pt>
                <c:pt idx="2">
                  <c:v>Assessor hrs/batch (1.0–2.5)</c:v>
                </c:pt>
                <c:pt idx="3">
                  <c:v>Open Call outcomes (sessions awarded)</c:v>
                </c:pt>
              </c:strCache>
            </c:strRef>
          </c:cat>
          <c:val>
            <c:numRef>
              <c:f>Dashboard!$D$23:$D$26</c:f>
              <c:numCache>
                <c:formatCode>\$#,##0;"($"#,##0\)</c:formatCode>
                <c:ptCount val="4"/>
                <c:pt idx="0">
                  <c:v>44252.800000000003</c:v>
                </c:pt>
                <c:pt idx="1">
                  <c:v>40515.199999999997</c:v>
                </c:pt>
                <c:pt idx="2">
                  <c:v>40538</c:v>
                </c:pt>
                <c:pt idx="3">
                  <c:v>41046.800000000003</c:v>
                </c:pt>
              </c:numCache>
            </c:numRef>
          </c:val>
          <c:extLst>
            <c:ext xmlns:c16="http://schemas.microsoft.com/office/drawing/2014/chart" uri="{C3380CC4-5D6E-409C-BE32-E72D297353CC}">
              <c16:uniqueId val="{00000001-EF0A-4674-8E81-71AB3106FB82}"/>
            </c:ext>
          </c:extLst>
        </c:ser>
        <c:dLbls>
          <c:showLegendKey val="0"/>
          <c:showVal val="0"/>
          <c:showCatName val="0"/>
          <c:showSerName val="0"/>
          <c:showPercent val="0"/>
          <c:showBubbleSize val="0"/>
        </c:dLbls>
        <c:gapWidth val="150"/>
        <c:overlap val="-10"/>
        <c:axId val="8613438"/>
        <c:axId val="2603474"/>
      </c:barChart>
      <c:catAx>
        <c:axId val="8613438"/>
        <c:scaling>
          <c:orientation val="minMax"/>
        </c:scaling>
        <c:delete val="0"/>
        <c:axPos val="l"/>
        <c:title>
          <c:tx>
            <c:rich>
              <a:bodyPr rot="-5400000"/>
              <a:lstStyle/>
              <a:p>
                <a:pPr>
                  <a:defRPr sz="1000" b="1" strike="noStrike" spc="-1">
                    <a:solidFill>
                      <a:srgbClr val="000000"/>
                    </a:solidFill>
                    <a:latin typeface="Calibri"/>
                  </a:defRPr>
                </a:pPr>
                <a:r>
                  <a:rPr lang="es-MX" sz="1000" b="1" strike="noStrike" spc="-1">
                    <a:solidFill>
                      <a:srgbClr val="000000"/>
                    </a:solidFill>
                    <a:latin typeface="Calibri"/>
                  </a:rPr>
                  <a:t>Total Budget (CAD)</a:t>
                </a:r>
              </a:p>
            </c:rich>
          </c:tx>
          <c:overlay val="0"/>
          <c:spPr>
            <a:noFill/>
            <a:ln w="0">
              <a:noFill/>
            </a:ln>
          </c:spPr>
        </c:title>
        <c:numFmt formatCode="General" sourceLinked="0"/>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s-MX"/>
          </a:p>
        </c:txPr>
        <c:crossAx val="2603474"/>
        <c:crosses val="autoZero"/>
        <c:auto val="1"/>
        <c:lblAlgn val="ctr"/>
        <c:lblOffset val="100"/>
        <c:noMultiLvlLbl val="0"/>
      </c:catAx>
      <c:valAx>
        <c:axId val="2603474"/>
        <c:scaling>
          <c:orientation val="minMax"/>
        </c:scaling>
        <c:delete val="0"/>
        <c:axPos val="b"/>
        <c:majorGridlines>
          <c:spPr>
            <a:ln w="0">
              <a:solidFill>
                <a:srgbClr val="B3B3B3"/>
              </a:solidFill>
            </a:ln>
          </c:spPr>
        </c:majorGridlines>
        <c:title>
          <c:tx>
            <c:rich>
              <a:bodyPr rot="0"/>
              <a:lstStyle/>
              <a:p>
                <a:pPr>
                  <a:defRPr sz="1000" b="1" strike="noStrike" spc="-1">
                    <a:solidFill>
                      <a:srgbClr val="000000"/>
                    </a:solidFill>
                    <a:latin typeface="Calibri"/>
                  </a:defRPr>
                </a:pPr>
                <a:r>
                  <a:rPr lang="es-MX" sz="1000" b="1" strike="noStrike" spc="-1">
                    <a:solidFill>
                      <a:srgbClr val="000000"/>
                    </a:solidFill>
                    <a:latin typeface="Calibri"/>
                  </a:rPr>
                  <a:t>None</a:t>
                </a:r>
              </a:p>
            </c:rich>
          </c:tx>
          <c:overlay val="0"/>
          <c:spPr>
            <a:noFill/>
            <a:ln w="0">
              <a:noFill/>
            </a:ln>
          </c:spPr>
        </c:title>
        <c:numFmt formatCode="\$#,##0;&quot;($&quot;#,##0\)" sourceLinked="0"/>
        <c:majorTickMark val="none"/>
        <c:minorTickMark val="none"/>
        <c:tickLblPos val="nextTo"/>
        <c:spPr>
          <a:ln w="0">
            <a:solidFill>
              <a:srgbClr val="B3B3B3"/>
            </a:solidFill>
          </a:ln>
        </c:spPr>
        <c:txPr>
          <a:bodyPr/>
          <a:lstStyle/>
          <a:p>
            <a:pPr>
              <a:defRPr sz="1000" b="0" strike="noStrike" spc="-1">
                <a:solidFill>
                  <a:srgbClr val="000000"/>
                </a:solidFill>
                <a:latin typeface="Calibri"/>
              </a:defRPr>
            </a:pPr>
            <a:endParaRPr lang="es-MX"/>
          </a:p>
        </c:txPr>
        <c:crossAx val="8613438"/>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s-MX"/>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editAs="oneCell">
    <xdr:from>
      <xdr:col>5</xdr:col>
      <xdr:colOff>0</xdr:colOff>
      <xdr:row>6</xdr:row>
      <xdr:rowOff>0</xdr:rowOff>
    </xdr:from>
    <xdr:to>
      <xdr:col>10</xdr:col>
      <xdr:colOff>210600</xdr:colOff>
      <xdr:row>22</xdr:row>
      <xdr:rowOff>18360</xdr:rowOff>
    </xdr:to>
    <xdr:graphicFrame macro="">
      <xdr:nvGraphicFramePr>
        <xdr:cNvPr id="2" name="Chart 1">
          <a:extLst>
            <a:ext uri="{FF2B5EF4-FFF2-40B4-BE49-F238E27FC236}">
              <a16:creationId xmlns:a16="http://schemas.microsoft.com/office/drawing/2014/main" id="{00000000-0008-0000-04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258536</xdr:colOff>
      <xdr:row>7</xdr:row>
      <xdr:rowOff>81643</xdr:rowOff>
    </xdr:from>
    <xdr:to>
      <xdr:col>9</xdr:col>
      <xdr:colOff>392168</xdr:colOff>
      <xdr:row>24</xdr:row>
      <xdr:rowOff>6343</xdr:rowOff>
    </xdr:to>
    <xdr:graphicFrame macro="">
      <xdr:nvGraphicFramePr>
        <xdr:cNvPr id="2" name="Chart 1">
          <a:extLst>
            <a:ext uri="{FF2B5EF4-FFF2-40B4-BE49-F238E27FC236}">
              <a16:creationId xmlns:a16="http://schemas.microsoft.com/office/drawing/2014/main" id="{00000000-0008-0000-05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4</xdr:col>
      <xdr:colOff>0</xdr:colOff>
      <xdr:row>4</xdr:row>
      <xdr:rowOff>131040</xdr:rowOff>
    </xdr:from>
    <xdr:to>
      <xdr:col>10</xdr:col>
      <xdr:colOff>571680</xdr:colOff>
      <xdr:row>20</xdr:row>
      <xdr:rowOff>205200</xdr:rowOff>
    </xdr:to>
    <xdr:graphicFrame macro="">
      <xdr:nvGraphicFramePr>
        <xdr:cNvPr id="2" name="Chart 1">
          <a:extLst>
            <a:ext uri="{FF2B5EF4-FFF2-40B4-BE49-F238E27FC236}">
              <a16:creationId xmlns:a16="http://schemas.microsoft.com/office/drawing/2014/main" id="{00000000-0008-0000-06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4</xdr:col>
      <xdr:colOff>0</xdr:colOff>
      <xdr:row>22</xdr:row>
      <xdr:rowOff>130680</xdr:rowOff>
    </xdr:from>
    <xdr:to>
      <xdr:col>10</xdr:col>
      <xdr:colOff>571680</xdr:colOff>
      <xdr:row>38</xdr:row>
      <xdr:rowOff>157680</xdr:rowOff>
    </xdr:to>
    <xdr:graphicFrame macro="">
      <xdr:nvGraphicFramePr>
        <xdr:cNvPr id="3" name="Chart 2">
          <a:extLst>
            <a:ext uri="{FF2B5EF4-FFF2-40B4-BE49-F238E27FC236}">
              <a16:creationId xmlns:a16="http://schemas.microsoft.com/office/drawing/2014/main" id="{00000000-0008-0000-06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0</xdr:colOff>
      <xdr:row>40</xdr:row>
      <xdr:rowOff>130680</xdr:rowOff>
    </xdr:from>
    <xdr:to>
      <xdr:col>12</xdr:col>
      <xdr:colOff>68760</xdr:colOff>
      <xdr:row>57</xdr:row>
      <xdr:rowOff>129240</xdr:rowOff>
    </xdr:to>
    <xdr:graphicFrame macro="">
      <xdr:nvGraphicFramePr>
        <xdr:cNvPr id="4" name="Chart 3">
          <a:extLst>
            <a:ext uri="{FF2B5EF4-FFF2-40B4-BE49-F238E27FC236}">
              <a16:creationId xmlns:a16="http://schemas.microsoft.com/office/drawing/2014/main" id="{00000000-0008-0000-06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808080"/>
  </sheetPr>
  <dimension ref="B2:B24"/>
  <sheetViews>
    <sheetView showGridLines="0" zoomScaleNormal="100" workbookViewId="0">
      <selection activeCell="B13" sqref="B13"/>
    </sheetView>
  </sheetViews>
  <sheetFormatPr baseColWidth="10" defaultColWidth="8.7109375" defaultRowHeight="15" x14ac:dyDescent="0.25"/>
  <cols>
    <col min="1" max="1" width="4" customWidth="1"/>
    <col min="2" max="2" width="95" customWidth="1"/>
    <col min="3" max="3" width="4" customWidth="1"/>
  </cols>
  <sheetData>
    <row r="2" spans="2:2" ht="19.5" customHeight="1" x14ac:dyDescent="0.3">
      <c r="B2" s="7" t="s">
        <v>0</v>
      </c>
    </row>
    <row r="3" spans="2:2" ht="15" customHeight="1" x14ac:dyDescent="0.25">
      <c r="B3" s="8" t="s">
        <v>1</v>
      </c>
    </row>
    <row r="5" spans="2:2" ht="13.5" customHeight="1" x14ac:dyDescent="0.25">
      <c r="B5" s="9" t="s">
        <v>2</v>
      </c>
    </row>
    <row r="6" spans="2:2" ht="39" customHeight="1" x14ac:dyDescent="0.25">
      <c r="B6" s="10" t="s">
        <v>3</v>
      </c>
    </row>
    <row r="7" spans="2:2" ht="6" customHeight="1" x14ac:dyDescent="0.25">
      <c r="B7" s="10"/>
    </row>
    <row r="8" spans="2:2" ht="13.5" customHeight="1" x14ac:dyDescent="0.25">
      <c r="B8" s="9" t="s">
        <v>4</v>
      </c>
    </row>
    <row r="9" spans="2:2" ht="13.5" customHeight="1" x14ac:dyDescent="0.25">
      <c r="B9" s="10" t="s">
        <v>5</v>
      </c>
    </row>
    <row r="10" spans="2:2" ht="13.5" customHeight="1" x14ac:dyDescent="0.25">
      <c r="B10" s="10" t="s">
        <v>6</v>
      </c>
    </row>
    <row r="11" spans="2:2" ht="13.5" customHeight="1" x14ac:dyDescent="0.25">
      <c r="B11" s="10" t="s">
        <v>7</v>
      </c>
    </row>
    <row r="12" spans="2:2" ht="13.5" customHeight="1" x14ac:dyDescent="0.25">
      <c r="B12" s="10" t="s">
        <v>8</v>
      </c>
    </row>
    <row r="13" spans="2:2" ht="13.5" customHeight="1" x14ac:dyDescent="0.25">
      <c r="B13" s="10" t="s">
        <v>9</v>
      </c>
    </row>
    <row r="14" spans="2:2" ht="6" customHeight="1" x14ac:dyDescent="0.25">
      <c r="B14" s="10"/>
    </row>
    <row r="15" spans="2:2" ht="13.5" customHeight="1" x14ac:dyDescent="0.25">
      <c r="B15" s="9" t="s">
        <v>10</v>
      </c>
    </row>
    <row r="16" spans="2:2" ht="13.5" customHeight="1" x14ac:dyDescent="0.25">
      <c r="B16" s="10" t="s">
        <v>312</v>
      </c>
    </row>
    <row r="17" spans="2:2" ht="13.5" customHeight="1" x14ac:dyDescent="0.25">
      <c r="B17" s="10" t="s">
        <v>11</v>
      </c>
    </row>
    <row r="18" spans="2:2" ht="13.5" customHeight="1" x14ac:dyDescent="0.25">
      <c r="B18" s="10" t="s">
        <v>12</v>
      </c>
    </row>
    <row r="19" spans="2:2" ht="13.5" customHeight="1" x14ac:dyDescent="0.25">
      <c r="B19" s="10" t="s">
        <v>13</v>
      </c>
    </row>
    <row r="20" spans="2:2" ht="6" customHeight="1" x14ac:dyDescent="0.25">
      <c r="B20" s="10"/>
    </row>
    <row r="21" spans="2:2" ht="13.5" customHeight="1" x14ac:dyDescent="0.25">
      <c r="B21" s="9" t="s">
        <v>14</v>
      </c>
    </row>
    <row r="22" spans="2:2" ht="13.5" customHeight="1" x14ac:dyDescent="0.25">
      <c r="B22" s="10" t="s">
        <v>15</v>
      </c>
    </row>
    <row r="23" spans="2:2" x14ac:dyDescent="0.25">
      <c r="B23" t="s">
        <v>311</v>
      </c>
    </row>
    <row r="24" spans="2:2" ht="15" customHeight="1" x14ac:dyDescent="0.25">
      <c r="B24" s="8" t="s">
        <v>16</v>
      </c>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C000"/>
  </sheetPr>
  <dimension ref="A2:F65"/>
  <sheetViews>
    <sheetView showGridLines="0" zoomScaleNormal="100" workbookViewId="0">
      <pane xSplit="1" ySplit="4" topLeftCell="B9" activePane="bottomRight" state="frozen"/>
      <selection pane="topRight" activeCell="B1" sqref="B1"/>
      <selection pane="bottomLeft" activeCell="A5" sqref="A5"/>
      <selection pane="bottomRight" activeCell="B59" sqref="B59"/>
    </sheetView>
  </sheetViews>
  <sheetFormatPr baseColWidth="10" defaultColWidth="8.7109375" defaultRowHeight="15" x14ac:dyDescent="0.25"/>
  <cols>
    <col min="1" max="1" width="3" customWidth="1"/>
    <col min="2" max="2" width="38" customWidth="1"/>
    <col min="3" max="3" width="16" customWidth="1"/>
    <col min="4" max="5" width="14" customWidth="1"/>
    <col min="6" max="6" width="40" customWidth="1"/>
  </cols>
  <sheetData>
    <row r="2" spans="1:6" ht="19.5" customHeight="1" x14ac:dyDescent="0.3">
      <c r="B2" s="7" t="s">
        <v>17</v>
      </c>
    </row>
    <row r="3" spans="1:6" ht="15" customHeight="1" x14ac:dyDescent="0.25">
      <c r="B3" s="8" t="s">
        <v>18</v>
      </c>
    </row>
    <row r="5" spans="1:6" ht="21.75" customHeight="1" x14ac:dyDescent="0.25">
      <c r="A5" s="11"/>
      <c r="B5" s="11" t="s">
        <v>19</v>
      </c>
      <c r="C5" s="11"/>
      <c r="D5" s="11"/>
      <c r="E5" s="11"/>
    </row>
    <row r="6" spans="1:6" ht="15" customHeight="1" x14ac:dyDescent="0.25">
      <c r="B6" s="12" t="s">
        <v>20</v>
      </c>
      <c r="C6" s="13">
        <v>22</v>
      </c>
      <c r="D6" s="8" t="s">
        <v>21</v>
      </c>
      <c r="F6" s="14" t="s">
        <v>22</v>
      </c>
    </row>
    <row r="8" spans="1:6" ht="21.75" customHeight="1" x14ac:dyDescent="0.25">
      <c r="A8" s="11"/>
      <c r="B8" s="11" t="s">
        <v>23</v>
      </c>
      <c r="C8" s="11"/>
      <c r="D8" s="11"/>
      <c r="E8" s="11"/>
    </row>
    <row r="9" spans="1:6" ht="15" customHeight="1" x14ac:dyDescent="0.25">
      <c r="B9" s="12" t="s">
        <v>24</v>
      </c>
      <c r="C9" s="13">
        <v>17</v>
      </c>
      <c r="D9" s="8" t="s">
        <v>25</v>
      </c>
      <c r="F9" s="14"/>
    </row>
    <row r="10" spans="1:6" ht="15" customHeight="1" x14ac:dyDescent="0.25">
      <c r="B10" s="12" t="s">
        <v>26</v>
      </c>
      <c r="C10" s="15">
        <v>40</v>
      </c>
      <c r="D10" s="8" t="s">
        <v>27</v>
      </c>
      <c r="F10" s="14"/>
    </row>
    <row r="11" spans="1:6" ht="15" customHeight="1" x14ac:dyDescent="0.25">
      <c r="B11" s="12" t="s">
        <v>28</v>
      </c>
      <c r="C11" s="13">
        <v>35</v>
      </c>
      <c r="D11" s="8" t="s">
        <v>25</v>
      </c>
      <c r="F11" s="14"/>
    </row>
    <row r="12" spans="1:6" ht="15" customHeight="1" x14ac:dyDescent="0.25">
      <c r="B12" s="12" t="s">
        <v>29</v>
      </c>
      <c r="C12" s="15">
        <v>30</v>
      </c>
      <c r="D12" s="8" t="s">
        <v>27</v>
      </c>
      <c r="F12" s="14"/>
    </row>
    <row r="13" spans="1:6" ht="15" customHeight="1" x14ac:dyDescent="0.25">
      <c r="B13" s="12" t="s">
        <v>30</v>
      </c>
      <c r="C13" s="16">
        <v>0</v>
      </c>
      <c r="D13" s="8" t="s">
        <v>31</v>
      </c>
      <c r="F13" s="14" t="s">
        <v>32</v>
      </c>
    </row>
    <row r="15" spans="1:6" ht="21.75" customHeight="1" x14ac:dyDescent="0.25">
      <c r="A15" s="11"/>
      <c r="B15" s="11" t="s">
        <v>33</v>
      </c>
      <c r="C15" s="11"/>
      <c r="D15" s="11"/>
      <c r="E15" s="11"/>
    </row>
    <row r="16" spans="1:6" ht="23.25" customHeight="1" x14ac:dyDescent="0.25">
      <c r="B16" s="12" t="s">
        <v>34</v>
      </c>
      <c r="C16" s="15">
        <v>200</v>
      </c>
      <c r="D16" s="8" t="s">
        <v>35</v>
      </c>
      <c r="F16" s="14" t="s">
        <v>36</v>
      </c>
    </row>
    <row r="17" spans="1:6" ht="15" customHeight="1" x14ac:dyDescent="0.25">
      <c r="B17" s="12" t="s">
        <v>37</v>
      </c>
      <c r="C17" s="13">
        <v>5</v>
      </c>
      <c r="D17" s="8" t="s">
        <v>38</v>
      </c>
      <c r="F17" s="14"/>
    </row>
    <row r="18" spans="1:6" ht="15" customHeight="1" x14ac:dyDescent="0.25">
      <c r="B18" s="12" t="s">
        <v>39</v>
      </c>
      <c r="C18" s="15">
        <v>200</v>
      </c>
      <c r="D18" s="8" t="s">
        <v>40</v>
      </c>
      <c r="F18" s="14" t="s">
        <v>41</v>
      </c>
    </row>
    <row r="20" spans="1:6" ht="21.75" customHeight="1" x14ac:dyDescent="0.25">
      <c r="A20" s="11"/>
      <c r="B20" s="11" t="s">
        <v>42</v>
      </c>
      <c r="C20" s="11"/>
      <c r="D20" s="11"/>
      <c r="E20" s="11"/>
    </row>
    <row r="21" spans="1:6" ht="15" customHeight="1" x14ac:dyDescent="0.25">
      <c r="B21" s="12" t="s">
        <v>43</v>
      </c>
      <c r="C21" s="13">
        <v>5</v>
      </c>
      <c r="D21" s="8" t="s">
        <v>44</v>
      </c>
      <c r="F21" s="14" t="s">
        <v>45</v>
      </c>
    </row>
    <row r="22" spans="1:6" ht="15" customHeight="1" x14ac:dyDescent="0.25">
      <c r="B22" s="12" t="s">
        <v>46</v>
      </c>
      <c r="C22" s="15">
        <v>60</v>
      </c>
      <c r="D22" s="8" t="s">
        <v>47</v>
      </c>
      <c r="F22" s="14" t="s">
        <v>48</v>
      </c>
    </row>
    <row r="23" spans="1:6" ht="15" customHeight="1" x14ac:dyDescent="0.25">
      <c r="B23" s="12" t="s">
        <v>49</v>
      </c>
      <c r="C23" s="15">
        <v>0</v>
      </c>
      <c r="D23" s="8" t="s">
        <v>35</v>
      </c>
      <c r="F23" s="14" t="s">
        <v>50</v>
      </c>
    </row>
    <row r="25" spans="1:6" ht="21.75" customHeight="1" x14ac:dyDescent="0.25">
      <c r="A25" s="11"/>
      <c r="B25" s="11" t="s">
        <v>51</v>
      </c>
      <c r="C25" s="11"/>
      <c r="D25" s="11"/>
      <c r="E25" s="11"/>
    </row>
    <row r="26" spans="1:6" ht="15" customHeight="1" x14ac:dyDescent="0.25">
      <c r="B26" s="12" t="s">
        <v>52</v>
      </c>
      <c r="C26" s="13">
        <v>3</v>
      </c>
      <c r="D26" s="8" t="s">
        <v>44</v>
      </c>
      <c r="F26" s="14"/>
    </row>
    <row r="27" spans="1:6" ht="15" customHeight="1" x14ac:dyDescent="0.25">
      <c r="B27" s="12" t="s">
        <v>53</v>
      </c>
      <c r="C27" s="15">
        <v>150</v>
      </c>
      <c r="D27" s="8" t="s">
        <v>40</v>
      </c>
      <c r="F27" s="14"/>
    </row>
    <row r="28" spans="1:6" ht="15" customHeight="1" x14ac:dyDescent="0.25">
      <c r="B28" s="12" t="s">
        <v>54</v>
      </c>
      <c r="C28" s="13">
        <v>1</v>
      </c>
      <c r="D28" s="8" t="s">
        <v>44</v>
      </c>
      <c r="F28" s="14"/>
    </row>
    <row r="29" spans="1:6" ht="15" customHeight="1" x14ac:dyDescent="0.25">
      <c r="B29" s="12" t="s">
        <v>55</v>
      </c>
      <c r="C29" s="15">
        <v>300</v>
      </c>
      <c r="D29" s="8" t="s">
        <v>40</v>
      </c>
      <c r="F29" s="14"/>
    </row>
    <row r="31" spans="1:6" ht="21.75" customHeight="1" x14ac:dyDescent="0.25">
      <c r="A31" s="11"/>
      <c r="B31" s="11" t="s">
        <v>56</v>
      </c>
      <c r="C31" s="11"/>
      <c r="D31" s="11"/>
      <c r="E31" s="11"/>
    </row>
    <row r="32" spans="1:6" ht="15" customHeight="1" x14ac:dyDescent="0.25">
      <c r="B32" s="12" t="s">
        <v>57</v>
      </c>
      <c r="C32" s="15">
        <v>24</v>
      </c>
      <c r="D32" s="8" t="s">
        <v>27</v>
      </c>
      <c r="F32" s="14"/>
    </row>
    <row r="33" spans="1:6" ht="15" customHeight="1" x14ac:dyDescent="0.25">
      <c r="B33" s="12" t="s">
        <v>58</v>
      </c>
      <c r="C33" s="15">
        <v>20</v>
      </c>
      <c r="D33" s="8" t="s">
        <v>27</v>
      </c>
      <c r="F33" s="14"/>
    </row>
    <row r="34" spans="1:6" ht="15" customHeight="1" x14ac:dyDescent="0.25">
      <c r="B34" s="12" t="s">
        <v>59</v>
      </c>
      <c r="C34" s="13">
        <v>1.5</v>
      </c>
      <c r="D34" s="8" t="s">
        <v>60</v>
      </c>
      <c r="F34" s="14" t="s">
        <v>61</v>
      </c>
    </row>
    <row r="35" spans="1:6" ht="15" customHeight="1" x14ac:dyDescent="0.25">
      <c r="B35" s="12" t="s">
        <v>62</v>
      </c>
      <c r="C35" s="16">
        <v>0.7</v>
      </c>
      <c r="D35" s="8" t="s">
        <v>31</v>
      </c>
      <c r="F35" s="14" t="s">
        <v>63</v>
      </c>
    </row>
    <row r="37" spans="1:6" ht="21.75" customHeight="1" x14ac:dyDescent="0.25">
      <c r="A37" s="11"/>
      <c r="B37" s="11" t="s">
        <v>64</v>
      </c>
      <c r="C37" s="11"/>
      <c r="D37" s="11"/>
      <c r="E37" s="11"/>
    </row>
    <row r="38" spans="1:6" ht="15" customHeight="1" x14ac:dyDescent="0.25">
      <c r="B38" s="12" t="s">
        <v>65</v>
      </c>
      <c r="C38" s="13">
        <v>12</v>
      </c>
      <c r="D38" s="8" t="s">
        <v>66</v>
      </c>
      <c r="F38" s="14"/>
    </row>
    <row r="39" spans="1:6" ht="15" customHeight="1" x14ac:dyDescent="0.25">
      <c r="B39" s="12" t="s">
        <v>67</v>
      </c>
      <c r="C39" s="13">
        <v>15</v>
      </c>
      <c r="D39" s="8" t="s">
        <v>66</v>
      </c>
      <c r="F39" s="14"/>
    </row>
    <row r="40" spans="1:6" ht="15" customHeight="1" x14ac:dyDescent="0.25">
      <c r="B40" s="12" t="s">
        <v>68</v>
      </c>
      <c r="C40" s="13">
        <v>40</v>
      </c>
      <c r="D40" s="8" t="s">
        <v>66</v>
      </c>
      <c r="F40" s="14" t="s">
        <v>69</v>
      </c>
    </row>
    <row r="42" spans="1:6" ht="21.75" customHeight="1" x14ac:dyDescent="0.25">
      <c r="A42" s="11"/>
      <c r="B42" s="11" t="s">
        <v>70</v>
      </c>
      <c r="C42" s="11"/>
      <c r="D42" s="11"/>
      <c r="E42" s="11"/>
    </row>
    <row r="43" spans="1:6" ht="15" customHeight="1" x14ac:dyDescent="0.25">
      <c r="B43" s="12" t="s">
        <v>71</v>
      </c>
      <c r="C43" s="15">
        <v>45</v>
      </c>
      <c r="D43" s="8" t="s">
        <v>40</v>
      </c>
      <c r="F43" s="14"/>
    </row>
    <row r="44" spans="1:6" ht="15" customHeight="1" x14ac:dyDescent="0.25">
      <c r="B44" s="12" t="s">
        <v>72</v>
      </c>
      <c r="C44" s="15">
        <v>85</v>
      </c>
      <c r="D44" s="8" t="s">
        <v>40</v>
      </c>
      <c r="F44" s="14"/>
    </row>
    <row r="45" spans="1:6" ht="15" customHeight="1" x14ac:dyDescent="0.25">
      <c r="B45" s="12" t="s">
        <v>73</v>
      </c>
      <c r="C45" s="15">
        <v>150</v>
      </c>
      <c r="D45" s="8" t="s">
        <v>40</v>
      </c>
      <c r="F45" s="14"/>
    </row>
    <row r="47" spans="1:6" ht="19.5" customHeight="1" x14ac:dyDescent="0.25">
      <c r="B47" s="17" t="s">
        <v>74</v>
      </c>
      <c r="C47" s="17"/>
      <c r="D47" s="17"/>
      <c r="E47" s="17"/>
    </row>
    <row r="48" spans="1:6" ht="34.5" customHeight="1" x14ac:dyDescent="0.25">
      <c r="B48" s="12" t="s">
        <v>75</v>
      </c>
      <c r="C48" s="13">
        <v>10</v>
      </c>
      <c r="D48" s="8" t="s">
        <v>76</v>
      </c>
      <c r="F48" s="14" t="s">
        <v>77</v>
      </c>
    </row>
    <row r="50" spans="2:6" ht="19.5" customHeight="1" x14ac:dyDescent="0.25">
      <c r="B50" s="17" t="s">
        <v>78</v>
      </c>
      <c r="C50" s="17"/>
      <c r="D50" s="17"/>
      <c r="E50" s="17"/>
    </row>
    <row r="51" spans="2:6" ht="28.5" customHeight="1" x14ac:dyDescent="0.25">
      <c r="B51" s="12" t="s">
        <v>79</v>
      </c>
      <c r="C51" s="13">
        <v>2</v>
      </c>
      <c r="D51" s="8" t="s">
        <v>80</v>
      </c>
      <c r="F51" s="14" t="s">
        <v>81</v>
      </c>
    </row>
    <row r="52" spans="2:6" ht="15" customHeight="1" x14ac:dyDescent="0.25">
      <c r="B52" s="12" t="s">
        <v>82</v>
      </c>
      <c r="C52" s="13">
        <v>3</v>
      </c>
      <c r="D52" s="8" t="s">
        <v>44</v>
      </c>
      <c r="F52" s="14" t="s">
        <v>83</v>
      </c>
    </row>
    <row r="53" spans="2:6" ht="15" customHeight="1" x14ac:dyDescent="0.25">
      <c r="B53" s="12" t="s">
        <v>84</v>
      </c>
      <c r="C53" s="13">
        <v>1</v>
      </c>
      <c r="D53" s="8" t="s">
        <v>44</v>
      </c>
      <c r="F53" s="14" t="s">
        <v>83</v>
      </c>
    </row>
    <row r="54" spans="2:6" ht="23.25" customHeight="1" x14ac:dyDescent="0.25">
      <c r="B54" s="12" t="s">
        <v>85</v>
      </c>
      <c r="C54" s="13">
        <v>5</v>
      </c>
      <c r="D54" s="8" t="s">
        <v>44</v>
      </c>
      <c r="F54" s="14" t="s">
        <v>86</v>
      </c>
    </row>
    <row r="55" spans="2:6" ht="23.25" customHeight="1" x14ac:dyDescent="0.25">
      <c r="B55" s="12" t="s">
        <v>87</v>
      </c>
      <c r="C55" s="13">
        <v>2</v>
      </c>
      <c r="D55" s="8" t="s">
        <v>44</v>
      </c>
      <c r="F55" s="14" t="s">
        <v>86</v>
      </c>
    </row>
    <row r="57" spans="2:6" ht="19.5" customHeight="1" x14ac:dyDescent="0.25">
      <c r="B57" s="17" t="s">
        <v>88</v>
      </c>
      <c r="C57" s="17"/>
      <c r="D57" s="17"/>
      <c r="E57" s="17"/>
    </row>
    <row r="58" spans="2:6" ht="15" customHeight="1" x14ac:dyDescent="0.25">
      <c r="B58" s="12" t="s">
        <v>89</v>
      </c>
      <c r="C58" s="13">
        <v>15</v>
      </c>
      <c r="D58" s="8" t="s">
        <v>25</v>
      </c>
      <c r="F58" s="14" t="s">
        <v>90</v>
      </c>
    </row>
    <row r="59" spans="2:6" ht="25.5" customHeight="1" x14ac:dyDescent="0.25">
      <c r="B59" s="12" t="s">
        <v>91</v>
      </c>
      <c r="C59" s="13">
        <v>20</v>
      </c>
      <c r="D59" s="8" t="s">
        <v>25</v>
      </c>
      <c r="F59" s="14" t="s">
        <v>301</v>
      </c>
    </row>
    <row r="60" spans="2:6" ht="15" customHeight="1" x14ac:dyDescent="0.25">
      <c r="B60" s="12" t="s">
        <v>92</v>
      </c>
      <c r="C60" s="13">
        <v>13</v>
      </c>
      <c r="D60" s="8" t="s">
        <v>21</v>
      </c>
      <c r="F60" s="14" t="s">
        <v>93</v>
      </c>
    </row>
    <row r="61" spans="2:6" ht="15" customHeight="1" x14ac:dyDescent="0.25">
      <c r="B61" s="12" t="s">
        <v>94</v>
      </c>
      <c r="C61" s="13">
        <v>2</v>
      </c>
      <c r="D61" s="8" t="s">
        <v>44</v>
      </c>
      <c r="F61" s="14" t="s">
        <v>95</v>
      </c>
    </row>
    <row r="62" spans="2:6" ht="15" customHeight="1" x14ac:dyDescent="0.25">
      <c r="B62" s="12" t="s">
        <v>96</v>
      </c>
      <c r="C62" s="13">
        <v>3</v>
      </c>
      <c r="D62" s="8" t="s">
        <v>44</v>
      </c>
      <c r="F62" s="14" t="s">
        <v>95</v>
      </c>
    </row>
    <row r="63" spans="2:6" ht="15" customHeight="1" x14ac:dyDescent="0.25">
      <c r="B63" s="12" t="s">
        <v>97</v>
      </c>
      <c r="C63" s="13">
        <v>2</v>
      </c>
      <c r="D63" s="8" t="s">
        <v>98</v>
      </c>
      <c r="F63" s="14" t="s">
        <v>99</v>
      </c>
    </row>
    <row r="64" spans="2:6" ht="15" customHeight="1" x14ac:dyDescent="0.25">
      <c r="B64" s="12" t="s">
        <v>100</v>
      </c>
      <c r="C64" s="13">
        <v>3</v>
      </c>
      <c r="D64" s="8" t="s">
        <v>98</v>
      </c>
      <c r="F64" s="14" t="s">
        <v>99</v>
      </c>
    </row>
    <row r="65" spans="2:6" ht="28.5" customHeight="1" x14ac:dyDescent="0.25">
      <c r="B65" s="12" t="s">
        <v>101</v>
      </c>
      <c r="C65" s="13">
        <v>20</v>
      </c>
      <c r="D65" s="8" t="s">
        <v>66</v>
      </c>
      <c r="F65" s="14" t="s">
        <v>102</v>
      </c>
    </row>
  </sheetData>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1F3864"/>
  </sheetPr>
  <dimension ref="A2:G41"/>
  <sheetViews>
    <sheetView showGridLines="0" zoomScaleNormal="100" workbookViewId="0">
      <pane xSplit="1" ySplit="5" topLeftCell="B6" activePane="bottomRight" state="frozen"/>
      <selection activeCell="B27" sqref="B27"/>
      <selection pane="topRight" activeCell="B27" sqref="B27"/>
      <selection pane="bottomLeft" activeCell="B27" sqref="B27"/>
      <selection pane="bottomRight" activeCell="B27" sqref="B27"/>
    </sheetView>
  </sheetViews>
  <sheetFormatPr baseColWidth="10" defaultColWidth="8.7109375" defaultRowHeight="15" x14ac:dyDescent="0.25"/>
  <cols>
    <col min="1" max="1" width="3" customWidth="1"/>
    <col min="2" max="2" width="34" customWidth="1"/>
    <col min="3" max="5" width="13" customWidth="1"/>
    <col min="6" max="6" width="14" customWidth="1"/>
    <col min="7" max="7" width="30" customWidth="1"/>
  </cols>
  <sheetData>
    <row r="2" spans="1:7" ht="19.5" customHeight="1" x14ac:dyDescent="0.3">
      <c r="B2" s="7" t="s">
        <v>103</v>
      </c>
    </row>
    <row r="3" spans="1:7" ht="15" customHeight="1" x14ac:dyDescent="0.25">
      <c r="B3" s="8" t="s">
        <v>104</v>
      </c>
    </row>
    <row r="5" spans="1:7" ht="21.75" customHeight="1" x14ac:dyDescent="0.25">
      <c r="A5" s="18"/>
      <c r="B5" s="18" t="s">
        <v>105</v>
      </c>
      <c r="C5" s="18" t="s">
        <v>106</v>
      </c>
      <c r="D5" s="18" t="s">
        <v>107</v>
      </c>
      <c r="E5" s="18" t="s">
        <v>108</v>
      </c>
      <c r="F5" s="18"/>
      <c r="G5" s="18" t="s">
        <v>109</v>
      </c>
    </row>
    <row r="6" spans="1:7" ht="39" customHeight="1" x14ac:dyDescent="0.25">
      <c r="A6" s="11"/>
      <c r="B6" s="11" t="s">
        <v>110</v>
      </c>
      <c r="C6" s="11"/>
      <c r="D6" s="11"/>
      <c r="E6" s="11"/>
      <c r="F6" s="11"/>
      <c r="G6" s="11"/>
    </row>
    <row r="7" spans="1:7" ht="21.75" customHeight="1" x14ac:dyDescent="0.25">
      <c r="B7" s="19" t="s">
        <v>111</v>
      </c>
      <c r="C7" s="20">
        <f>Assumptions!$C$10*(1+Assumptions!$C$13)</f>
        <v>40</v>
      </c>
      <c r="D7" s="21">
        <f>Assumptions!$C$9*Assumptions!$C$6</f>
        <v>374</v>
      </c>
      <c r="E7" s="22">
        <f>C7*D7</f>
        <v>14960</v>
      </c>
      <c r="G7" s="23" t="s">
        <v>112</v>
      </c>
    </row>
    <row r="8" spans="1:7" ht="21.75" customHeight="1" x14ac:dyDescent="0.25">
      <c r="B8" s="19" t="s">
        <v>113</v>
      </c>
      <c r="C8" s="20">
        <f>Assumptions!$C$12*(1+Assumptions!$C$13)</f>
        <v>30</v>
      </c>
      <c r="D8" s="21">
        <f>Assumptions!$C$11*Assumptions!$C$6</f>
        <v>770</v>
      </c>
      <c r="E8" s="22">
        <f>C8*D8</f>
        <v>23100</v>
      </c>
      <c r="G8" s="23" t="s">
        <v>112</v>
      </c>
    </row>
    <row r="9" spans="1:7" ht="15" customHeight="1" x14ac:dyDescent="0.25">
      <c r="B9" s="24" t="s">
        <v>114</v>
      </c>
      <c r="C9" s="25"/>
      <c r="D9" s="25"/>
      <c r="E9" s="26">
        <f>SUM(E7:E8)</f>
        <v>38060</v>
      </c>
    </row>
    <row r="11" spans="1:7" ht="19.5" customHeight="1" x14ac:dyDescent="0.25">
      <c r="A11" s="11"/>
      <c r="B11" s="11" t="s">
        <v>115</v>
      </c>
      <c r="C11" s="11"/>
      <c r="D11" s="11"/>
      <c r="E11" s="11"/>
      <c r="F11" s="11"/>
      <c r="G11" s="11"/>
    </row>
    <row r="12" spans="1:7" ht="21.75" customHeight="1" x14ac:dyDescent="0.25">
      <c r="B12" s="19" t="s">
        <v>116</v>
      </c>
      <c r="C12" s="20">
        <f>Assumptions!$C$16</f>
        <v>200</v>
      </c>
      <c r="D12" s="27">
        <f>Assumptions!$C$17</f>
        <v>5</v>
      </c>
      <c r="E12" s="22">
        <f>C12*D12</f>
        <v>1000</v>
      </c>
      <c r="G12" s="23" t="s">
        <v>117</v>
      </c>
    </row>
    <row r="13" spans="1:7" ht="15" customHeight="1" x14ac:dyDescent="0.25">
      <c r="B13" s="19" t="s">
        <v>118</v>
      </c>
      <c r="C13" s="20">
        <f>Assumptions!$C$18</f>
        <v>200</v>
      </c>
      <c r="D13" s="28">
        <v>1</v>
      </c>
      <c r="E13" s="22">
        <f>C13*D13</f>
        <v>200</v>
      </c>
      <c r="G13" s="23" t="s">
        <v>119</v>
      </c>
    </row>
    <row r="14" spans="1:7" ht="15" customHeight="1" x14ac:dyDescent="0.25">
      <c r="B14" s="24" t="s">
        <v>120</v>
      </c>
      <c r="C14" s="25"/>
      <c r="D14" s="25"/>
      <c r="E14" s="26">
        <f>SUM(E12:E13)</f>
        <v>1200</v>
      </c>
    </row>
    <row r="16" spans="1:7" ht="19.5" customHeight="1" x14ac:dyDescent="0.25">
      <c r="A16" s="11"/>
      <c r="B16" s="11" t="s">
        <v>121</v>
      </c>
      <c r="C16" s="11"/>
      <c r="D16" s="11"/>
      <c r="E16" s="11"/>
      <c r="F16" s="11"/>
      <c r="G16" s="11"/>
    </row>
    <row r="17" spans="1:7" ht="21.75" customHeight="1" x14ac:dyDescent="0.25">
      <c r="B17" s="19" t="s">
        <v>122</v>
      </c>
      <c r="C17" s="20">
        <f>Assumptions!$C$22</f>
        <v>60</v>
      </c>
      <c r="D17" s="29">
        <f>Assumptions!$C$21</f>
        <v>5</v>
      </c>
      <c r="E17" s="22">
        <f>C17*D17</f>
        <v>300</v>
      </c>
      <c r="G17" s="23" t="s">
        <v>123</v>
      </c>
    </row>
    <row r="18" spans="1:7" ht="21.75" customHeight="1" x14ac:dyDescent="0.25">
      <c r="B18" s="19" t="s">
        <v>124</v>
      </c>
      <c r="C18" s="20">
        <f>Assumptions!$C$23</f>
        <v>0</v>
      </c>
      <c r="D18" s="27">
        <f>Assumptions!$C$6/4.33</f>
        <v>5.0808314087759818</v>
      </c>
      <c r="E18" s="22">
        <f>C18*D18</f>
        <v>0</v>
      </c>
      <c r="G18" s="23" t="s">
        <v>125</v>
      </c>
    </row>
    <row r="19" spans="1:7" ht="15" customHeight="1" x14ac:dyDescent="0.25">
      <c r="B19" s="24" t="s">
        <v>126</v>
      </c>
      <c r="C19" s="25"/>
      <c r="D19" s="25"/>
      <c r="E19" s="26">
        <f>SUM(E17:E18)</f>
        <v>300</v>
      </c>
    </row>
    <row r="21" spans="1:7" ht="19.5" customHeight="1" x14ac:dyDescent="0.25">
      <c r="A21" s="11"/>
      <c r="B21" s="11" t="s">
        <v>127</v>
      </c>
      <c r="C21" s="11"/>
      <c r="D21" s="11"/>
      <c r="E21" s="11"/>
      <c r="F21" s="11"/>
      <c r="G21" s="11"/>
    </row>
    <row r="22" spans="1:7" ht="21.75" customHeight="1" x14ac:dyDescent="0.25">
      <c r="B22" s="19" t="s">
        <v>128</v>
      </c>
      <c r="C22" s="20">
        <f>Assumptions!$C$27</f>
        <v>150</v>
      </c>
      <c r="D22" s="29">
        <f>Assumptions!$C$26</f>
        <v>3</v>
      </c>
      <c r="E22" s="22">
        <f>C22*D22</f>
        <v>450</v>
      </c>
      <c r="G22" s="23" t="s">
        <v>129</v>
      </c>
    </row>
    <row r="23" spans="1:7" ht="21.75" customHeight="1" x14ac:dyDescent="0.25">
      <c r="B23" s="19" t="s">
        <v>130</v>
      </c>
      <c r="C23" s="20">
        <f>Assumptions!$C$29</f>
        <v>300</v>
      </c>
      <c r="D23" s="29">
        <f>Assumptions!$C$28</f>
        <v>1</v>
      </c>
      <c r="E23" s="22">
        <f>C23*D23</f>
        <v>300</v>
      </c>
      <c r="G23" s="23" t="s">
        <v>129</v>
      </c>
    </row>
    <row r="24" spans="1:7" ht="15" customHeight="1" x14ac:dyDescent="0.25">
      <c r="B24" s="24" t="s">
        <v>131</v>
      </c>
      <c r="C24" s="25"/>
      <c r="D24" s="25"/>
      <c r="E24" s="26">
        <f>SUM(E22:E23)</f>
        <v>750</v>
      </c>
    </row>
    <row r="26" spans="1:7" ht="19.5" customHeight="1" x14ac:dyDescent="0.25">
      <c r="A26" s="11"/>
      <c r="B26" s="11" t="s">
        <v>132</v>
      </c>
      <c r="C26" s="11"/>
      <c r="D26" s="11"/>
      <c r="E26" s="11"/>
      <c r="F26" s="11"/>
      <c r="G26" s="11"/>
    </row>
    <row r="27" spans="1:7" ht="15" customHeight="1" x14ac:dyDescent="0.25">
      <c r="B27" s="19" t="s">
        <v>133</v>
      </c>
      <c r="C27" s="20">
        <f>Assumptions!$C$32</f>
        <v>24</v>
      </c>
      <c r="D27" s="30">
        <f>ROUNDUP((Assumptions!$C$40)/Assumptions!$C$48,0)*Assumptions!$C$34*Assumptions!$C$35</f>
        <v>4.1999999999999993</v>
      </c>
      <c r="E27" s="22">
        <f>C27*D27</f>
        <v>100.79999999999998</v>
      </c>
      <c r="G27" s="23" t="s">
        <v>134</v>
      </c>
    </row>
    <row r="28" spans="1:7" ht="15" customHeight="1" x14ac:dyDescent="0.25">
      <c r="B28" s="19" t="s">
        <v>135</v>
      </c>
      <c r="C28" s="20">
        <f>Assumptions!$C$33</f>
        <v>20</v>
      </c>
      <c r="D28" s="30">
        <f>ROUNDUP((Assumptions!$C$40)/Assumptions!$C$48,0)*Assumptions!$C$34*(1-Assumptions!$C$35)</f>
        <v>1.8000000000000003</v>
      </c>
      <c r="E28" s="22">
        <f>C28*D28</f>
        <v>36.000000000000007</v>
      </c>
      <c r="G28" s="23" t="s">
        <v>134</v>
      </c>
    </row>
    <row r="29" spans="1:7" ht="15" customHeight="1" x14ac:dyDescent="0.25">
      <c r="B29" s="24" t="s">
        <v>136</v>
      </c>
      <c r="C29" s="25"/>
      <c r="D29" s="25"/>
      <c r="E29" s="26">
        <f>SUM(E27:E28)</f>
        <v>136.79999999999998</v>
      </c>
    </row>
    <row r="32" spans="1:7" ht="15" customHeight="1" x14ac:dyDescent="0.25">
      <c r="B32" s="31" t="s">
        <v>137</v>
      </c>
      <c r="C32" s="32"/>
      <c r="D32" s="32"/>
      <c r="E32" s="33">
        <f>E9+E14</f>
        <v>39260</v>
      </c>
    </row>
    <row r="33" spans="1:7" ht="15" customHeight="1" x14ac:dyDescent="0.25">
      <c r="B33" s="31" t="s">
        <v>138</v>
      </c>
      <c r="C33" s="32"/>
      <c r="D33" s="32"/>
      <c r="E33" s="33">
        <f>E9+E14+E19+E24+E29</f>
        <v>40446.800000000003</v>
      </c>
    </row>
    <row r="35" spans="1:7" ht="19.5" customHeight="1" x14ac:dyDescent="0.25">
      <c r="A35" s="11"/>
      <c r="B35" s="11" t="s">
        <v>139</v>
      </c>
      <c r="C35" s="11"/>
      <c r="D35" s="11"/>
      <c r="E35" s="11"/>
      <c r="F35" s="11"/>
      <c r="G35" s="11"/>
    </row>
    <row r="36" spans="1:7" ht="15" customHeight="1" x14ac:dyDescent="0.25">
      <c r="B36" s="19" t="s">
        <v>140</v>
      </c>
      <c r="C36" s="20">
        <f>Assumptions!$C$43</f>
        <v>45</v>
      </c>
      <c r="D36" s="34">
        <f>Assumptions!$C$38*Assumptions!$C$26</f>
        <v>36</v>
      </c>
      <c r="E36" s="22">
        <f>C36*D36</f>
        <v>1620</v>
      </c>
      <c r="G36" s="23" t="s">
        <v>141</v>
      </c>
    </row>
    <row r="37" spans="1:7" ht="15" customHeight="1" x14ac:dyDescent="0.25">
      <c r="B37" s="19" t="s">
        <v>142</v>
      </c>
      <c r="C37" s="20">
        <f>Assumptions!$C$44</f>
        <v>85</v>
      </c>
      <c r="D37" s="34">
        <f>Assumptions!$C$39*Assumptions!$C$28</f>
        <v>15</v>
      </c>
      <c r="E37" s="22">
        <f>C37*D37</f>
        <v>1275</v>
      </c>
      <c r="G37" s="23" t="s">
        <v>141</v>
      </c>
    </row>
    <row r="38" spans="1:7" ht="15" customHeight="1" x14ac:dyDescent="0.25">
      <c r="B38" s="19" t="s">
        <v>143</v>
      </c>
      <c r="C38" s="20">
        <f>Assumptions!$C$45</f>
        <v>150</v>
      </c>
      <c r="D38" s="35">
        <f>Assumptions!$C$40</f>
        <v>40</v>
      </c>
      <c r="E38" s="22">
        <f>C38*D38</f>
        <v>6000</v>
      </c>
      <c r="G38" s="23" t="s">
        <v>144</v>
      </c>
    </row>
    <row r="39" spans="1:7" ht="15" customHeight="1" x14ac:dyDescent="0.25">
      <c r="B39" s="24" t="s">
        <v>145</v>
      </c>
      <c r="C39" s="25"/>
      <c r="D39" s="25"/>
      <c r="E39" s="26">
        <f>SUM(E36:E38)</f>
        <v>8895</v>
      </c>
    </row>
    <row r="41" spans="1:7" ht="15" customHeight="1" x14ac:dyDescent="0.25">
      <c r="B41" s="31" t="s">
        <v>146</v>
      </c>
      <c r="C41" s="32"/>
      <c r="D41" s="32"/>
      <c r="E41" s="33">
        <f>E39-E33</f>
        <v>-31551.800000000003</v>
      </c>
    </row>
  </sheetData>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2E5395"/>
  </sheetPr>
  <dimension ref="B2:H43"/>
  <sheetViews>
    <sheetView showGridLines="0" zoomScaleNormal="100" workbookViewId="0">
      <pane xSplit="1" ySplit="4" topLeftCell="B5" activePane="bottomRight" state="frozen"/>
      <selection pane="topRight" activeCell="B1" sqref="B1"/>
      <selection pane="bottomLeft" activeCell="A5" sqref="A5"/>
      <selection pane="bottomRight"/>
    </sheetView>
  </sheetViews>
  <sheetFormatPr baseColWidth="10" defaultColWidth="8.7109375" defaultRowHeight="15" x14ac:dyDescent="0.25"/>
  <cols>
    <col min="1" max="1" width="3" customWidth="1"/>
    <col min="2" max="2" width="26" customWidth="1"/>
    <col min="3" max="8" width="14" customWidth="1"/>
    <col min="9" max="9" width="4" customWidth="1"/>
    <col min="10" max="10" width="32" customWidth="1"/>
  </cols>
  <sheetData>
    <row r="2" spans="2:8" ht="19.5" customHeight="1" x14ac:dyDescent="0.3">
      <c r="B2" s="7" t="s">
        <v>147</v>
      </c>
    </row>
    <row r="3" spans="2:8" ht="15" customHeight="1" x14ac:dyDescent="0.25">
      <c r="B3" s="8" t="s">
        <v>148</v>
      </c>
    </row>
    <row r="5" spans="2:8" ht="19.5" customHeight="1" x14ac:dyDescent="0.25">
      <c r="B5" s="11" t="s">
        <v>149</v>
      </c>
      <c r="C5" s="11"/>
      <c r="D5" s="11"/>
      <c r="E5" s="11"/>
      <c r="F5" s="11"/>
      <c r="G5" s="11"/>
      <c r="H5" s="11"/>
    </row>
    <row r="6" spans="2:8" ht="25.5" customHeight="1" x14ac:dyDescent="0.25">
      <c r="B6" s="6" t="s">
        <v>150</v>
      </c>
      <c r="C6" s="6"/>
      <c r="D6" s="6"/>
      <c r="E6" s="6"/>
      <c r="F6" s="6"/>
      <c r="G6" s="6"/>
      <c r="H6" s="6"/>
    </row>
    <row r="7" spans="2:8" ht="15" customHeight="1" x14ac:dyDescent="0.25">
      <c r="B7" s="36" t="s">
        <v>151</v>
      </c>
      <c r="C7" s="37">
        <v>1</v>
      </c>
      <c r="D7" s="37">
        <v>1.5</v>
      </c>
      <c r="E7" s="37">
        <v>2</v>
      </c>
      <c r="F7" s="37">
        <v>2.5</v>
      </c>
    </row>
    <row r="8" spans="2:8" ht="15" customHeight="1" x14ac:dyDescent="0.25">
      <c r="B8" s="38">
        <v>20</v>
      </c>
      <c r="C8" s="39">
        <f>(ROUNDUP((20)/Assumptions!$C$48,0)*1*Assumptions!$C$35)*Assumptions!$C$32+(ROUNDUP((20)/Assumptions!$C$48,0)*1*(1-Assumptions!$C$35))*Assumptions!$C$33</f>
        <v>45.599999999999994</v>
      </c>
      <c r="D8" s="39">
        <f>(ROUNDUP((20)/Assumptions!$C$48,0)*1.5*Assumptions!$C$35)*Assumptions!$C$32+(ROUNDUP((20)/Assumptions!$C$48,0)*1.5*(1-Assumptions!$C$35))*Assumptions!$C$33</f>
        <v>68.399999999999991</v>
      </c>
      <c r="E8" s="39">
        <f>(ROUNDUP((20)/Assumptions!$C$48,0)*2*Assumptions!$C$35)*Assumptions!$C$32+(ROUNDUP((20)/Assumptions!$C$48,0)*2*(1-Assumptions!$C$35))*Assumptions!$C$33</f>
        <v>91.199999999999989</v>
      </c>
      <c r="F8" s="39">
        <f>(ROUNDUP((20)/Assumptions!$C$48,0)*2.5*Assumptions!$C$35)*Assumptions!$C$32+(ROUNDUP((20)/Assumptions!$C$48,0)*2.5*(1-Assumptions!$C$35))*Assumptions!$C$33</f>
        <v>114</v>
      </c>
    </row>
    <row r="9" spans="2:8" ht="15" customHeight="1" x14ac:dyDescent="0.25">
      <c r="B9" s="38">
        <v>40</v>
      </c>
      <c r="C9" s="39">
        <f>(ROUNDUP((40)/Assumptions!$C$48,0)*1*Assumptions!$C$35)*Assumptions!$C$32+(ROUNDUP((40)/Assumptions!$C$48,0)*1*(1-Assumptions!$C$35))*Assumptions!$C$33</f>
        <v>91.199999999999989</v>
      </c>
      <c r="D9" s="39">
        <f>(ROUNDUP((40)/Assumptions!$C$48,0)*1.5*Assumptions!$C$35)*Assumptions!$C$32+(ROUNDUP((40)/Assumptions!$C$48,0)*1.5*(1-Assumptions!$C$35))*Assumptions!$C$33</f>
        <v>136.79999999999998</v>
      </c>
      <c r="E9" s="39">
        <f>(ROUNDUP((40)/Assumptions!$C$48,0)*2*Assumptions!$C$35)*Assumptions!$C$32+(ROUNDUP((40)/Assumptions!$C$48,0)*2*(1-Assumptions!$C$35))*Assumptions!$C$33</f>
        <v>182.39999999999998</v>
      </c>
      <c r="F9" s="39">
        <f>(ROUNDUP((40)/Assumptions!$C$48,0)*2.5*Assumptions!$C$35)*Assumptions!$C$32+(ROUNDUP((40)/Assumptions!$C$48,0)*2.5*(1-Assumptions!$C$35))*Assumptions!$C$33</f>
        <v>228</v>
      </c>
    </row>
    <row r="10" spans="2:8" ht="15" customHeight="1" x14ac:dyDescent="0.25">
      <c r="B10" s="38">
        <v>60</v>
      </c>
      <c r="C10" s="39">
        <f>(ROUNDUP((60)/Assumptions!$C$48,0)*1*Assumptions!$C$35)*Assumptions!$C$32+(ROUNDUP((60)/Assumptions!$C$48,0)*1*(1-Assumptions!$C$35))*Assumptions!$C$33</f>
        <v>136.79999999999998</v>
      </c>
      <c r="D10" s="39">
        <f>(ROUNDUP((60)/Assumptions!$C$48,0)*1.5*Assumptions!$C$35)*Assumptions!$C$32+(ROUNDUP((60)/Assumptions!$C$48,0)*1.5*(1-Assumptions!$C$35))*Assumptions!$C$33</f>
        <v>205.2</v>
      </c>
      <c r="E10" s="39">
        <f>(ROUNDUP((60)/Assumptions!$C$48,0)*2*Assumptions!$C$35)*Assumptions!$C$32+(ROUNDUP((60)/Assumptions!$C$48,0)*2*(1-Assumptions!$C$35))*Assumptions!$C$33</f>
        <v>273.59999999999997</v>
      </c>
      <c r="F10" s="39">
        <f>(ROUNDUP((60)/Assumptions!$C$48,0)*2.5*Assumptions!$C$35)*Assumptions!$C$32+(ROUNDUP((60)/Assumptions!$C$48,0)*2.5*(1-Assumptions!$C$35))*Assumptions!$C$33</f>
        <v>342</v>
      </c>
    </row>
    <row r="11" spans="2:8" ht="15" customHeight="1" x14ac:dyDescent="0.25">
      <c r="B11" s="38">
        <v>80</v>
      </c>
      <c r="C11" s="39">
        <f>(ROUNDUP((80)/Assumptions!$C$48,0)*1*Assumptions!$C$35)*Assumptions!$C$32+(ROUNDUP((80)/Assumptions!$C$48,0)*1*(1-Assumptions!$C$35))*Assumptions!$C$33</f>
        <v>182.39999999999998</v>
      </c>
      <c r="D11" s="39">
        <f>(ROUNDUP((80)/Assumptions!$C$48,0)*1.5*Assumptions!$C$35)*Assumptions!$C$32+(ROUNDUP((80)/Assumptions!$C$48,0)*1.5*(1-Assumptions!$C$35))*Assumptions!$C$33</f>
        <v>273.59999999999997</v>
      </c>
      <c r="E11" s="39">
        <f>(ROUNDUP((80)/Assumptions!$C$48,0)*2*Assumptions!$C$35)*Assumptions!$C$32+(ROUNDUP((80)/Assumptions!$C$48,0)*2*(1-Assumptions!$C$35))*Assumptions!$C$33</f>
        <v>364.79999999999995</v>
      </c>
      <c r="F11" s="39">
        <f>(ROUNDUP((80)/Assumptions!$C$48,0)*2.5*Assumptions!$C$35)*Assumptions!$C$32+(ROUNDUP((80)/Assumptions!$C$48,0)*2.5*(1-Assumptions!$C$35))*Assumptions!$C$33</f>
        <v>456</v>
      </c>
    </row>
    <row r="12" spans="2:8" ht="15" customHeight="1" x14ac:dyDescent="0.25">
      <c r="B12" s="38">
        <v>100</v>
      </c>
      <c r="C12" s="39">
        <f>(ROUNDUP((100)/Assumptions!$C$48,0)*1*Assumptions!$C$35)*Assumptions!$C$32+(ROUNDUP((100)/Assumptions!$C$48,0)*1*(1-Assumptions!$C$35))*Assumptions!$C$33</f>
        <v>228</v>
      </c>
      <c r="D12" s="39">
        <f>(ROUNDUP((100)/Assumptions!$C$48,0)*1.5*Assumptions!$C$35)*Assumptions!$C$32+(ROUNDUP((100)/Assumptions!$C$48,0)*1.5*(1-Assumptions!$C$35))*Assumptions!$C$33</f>
        <v>342</v>
      </c>
      <c r="E12" s="39">
        <f>(ROUNDUP((100)/Assumptions!$C$48,0)*2*Assumptions!$C$35)*Assumptions!$C$32+(ROUNDUP((100)/Assumptions!$C$48,0)*2*(1-Assumptions!$C$35))*Assumptions!$C$33</f>
        <v>456</v>
      </c>
      <c r="F12" s="39">
        <f>(ROUNDUP((100)/Assumptions!$C$48,0)*2.5*Assumptions!$C$35)*Assumptions!$C$32+(ROUNDUP((100)/Assumptions!$C$48,0)*2.5*(1-Assumptions!$C$35))*Assumptions!$C$33</f>
        <v>570</v>
      </c>
    </row>
    <row r="13" spans="2:8" ht="15" customHeight="1" x14ac:dyDescent="0.25">
      <c r="B13" s="40" t="s">
        <v>152</v>
      </c>
    </row>
    <row r="15" spans="2:8" ht="19.5" customHeight="1" x14ac:dyDescent="0.25">
      <c r="B15" s="11" t="s">
        <v>153</v>
      </c>
      <c r="C15" s="11"/>
      <c r="D15" s="11"/>
      <c r="E15" s="11"/>
      <c r="F15" s="11"/>
      <c r="G15" s="11"/>
      <c r="H15" s="11"/>
    </row>
    <row r="16" spans="2:8" ht="25.5" customHeight="1" x14ac:dyDescent="0.25">
      <c r="B16" s="6" t="s">
        <v>154</v>
      </c>
      <c r="C16" s="6"/>
      <c r="D16" s="6"/>
      <c r="E16" s="6"/>
      <c r="F16" s="6"/>
      <c r="G16" s="6"/>
      <c r="H16" s="6"/>
    </row>
    <row r="17" spans="2:8" ht="30" customHeight="1" x14ac:dyDescent="0.25">
      <c r="B17" s="18" t="s">
        <v>155</v>
      </c>
      <c r="C17" s="41" t="s">
        <v>111</v>
      </c>
      <c r="D17" s="41" t="s">
        <v>156</v>
      </c>
      <c r="E17" s="41" t="s">
        <v>114</v>
      </c>
      <c r="F17" s="41" t="s">
        <v>157</v>
      </c>
      <c r="G17" s="41" t="s">
        <v>158</v>
      </c>
    </row>
    <row r="18" spans="2:8" ht="15" customHeight="1" x14ac:dyDescent="0.25">
      <c r="B18" s="42">
        <v>-0.1</v>
      </c>
      <c r="C18" s="39">
        <f>(Assumptions!$C$10*(1+-0.1))*(Assumptions!$C$9*Assumptions!$C$6)</f>
        <v>13464</v>
      </c>
      <c r="D18" s="39">
        <f>(Assumptions!$C$12*(1+-0.1))*(Assumptions!$C$11*Assumptions!$C$6)</f>
        <v>20790</v>
      </c>
      <c r="E18" s="39">
        <f>C18+D18</f>
        <v>34254</v>
      </c>
      <c r="F18" s="39">
        <f>E18+'Budget Model'!$E$14+'Budget Model'!$E$19+'Budget Model'!$E$24+'Budget Model'!$E$29</f>
        <v>36640.800000000003</v>
      </c>
      <c r="G18" s="43">
        <f>F18-$F$20</f>
        <v>-3806</v>
      </c>
    </row>
    <row r="19" spans="2:8" ht="15" customHeight="1" x14ac:dyDescent="0.25">
      <c r="B19" s="42">
        <v>-0.05</v>
      </c>
      <c r="C19" s="39">
        <f>(Assumptions!$C$10*(1+-0.05))*(Assumptions!$C$9*Assumptions!$C$6)</f>
        <v>14212</v>
      </c>
      <c r="D19" s="39">
        <f>(Assumptions!$C$12*(1+-0.05))*(Assumptions!$C$11*Assumptions!$C$6)</f>
        <v>21945</v>
      </c>
      <c r="E19" s="39">
        <f>C19+D19</f>
        <v>36157</v>
      </c>
      <c r="F19" s="39">
        <f>E19+'Budget Model'!$E$14+'Budget Model'!$E$19+'Budget Model'!$E$24+'Budget Model'!$E$29</f>
        <v>38543.800000000003</v>
      </c>
      <c r="G19" s="43">
        <f>F19-$F$20</f>
        <v>-1903</v>
      </c>
    </row>
    <row r="20" spans="2:8" ht="15" customHeight="1" x14ac:dyDescent="0.25">
      <c r="B20" s="44">
        <v>0</v>
      </c>
      <c r="C20" s="45">
        <f>(Assumptions!$C$10*(1+0))*(Assumptions!$C$9*Assumptions!$C$6)</f>
        <v>14960</v>
      </c>
      <c r="D20" s="45">
        <f>(Assumptions!$C$12*(1+0))*(Assumptions!$C$11*Assumptions!$C$6)</f>
        <v>23100</v>
      </c>
      <c r="E20" s="45">
        <f>C20+D20</f>
        <v>38060</v>
      </c>
      <c r="F20" s="45">
        <f>E20+'Budget Model'!$E$14+'Budget Model'!$E$19+'Budget Model'!$E$24+'Budget Model'!$E$29</f>
        <v>40446.800000000003</v>
      </c>
      <c r="G20" s="46">
        <f>F20-$F$20</f>
        <v>0</v>
      </c>
    </row>
    <row r="21" spans="2:8" ht="15" customHeight="1" x14ac:dyDescent="0.25">
      <c r="B21" s="42">
        <v>0.05</v>
      </c>
      <c r="C21" s="39">
        <f>(Assumptions!$C$10*(1+0.05))*(Assumptions!$C$9*Assumptions!$C$6)</f>
        <v>15708</v>
      </c>
      <c r="D21" s="39">
        <f>(Assumptions!$C$12*(1+0.05))*(Assumptions!$C$11*Assumptions!$C$6)</f>
        <v>24255</v>
      </c>
      <c r="E21" s="39">
        <f>C21+D21</f>
        <v>39963</v>
      </c>
      <c r="F21" s="39">
        <f>E21+'Budget Model'!$E$14+'Budget Model'!$E$19+'Budget Model'!$E$24+'Budget Model'!$E$29</f>
        <v>42349.8</v>
      </c>
      <c r="G21" s="43">
        <f>F21-$F$20</f>
        <v>1903</v>
      </c>
    </row>
    <row r="22" spans="2:8" ht="15" customHeight="1" x14ac:dyDescent="0.25">
      <c r="B22" s="42">
        <v>0.1</v>
      </c>
      <c r="C22" s="39">
        <f>(Assumptions!$C$10*(1+0.1))*(Assumptions!$C$9*Assumptions!$C$6)</f>
        <v>16456</v>
      </c>
      <c r="D22" s="39">
        <f>(Assumptions!$C$12*(1+0.1))*(Assumptions!$C$11*Assumptions!$C$6)</f>
        <v>25410</v>
      </c>
      <c r="E22" s="39">
        <f>C22+D22</f>
        <v>41866</v>
      </c>
      <c r="F22" s="39">
        <f>E22+'Budget Model'!$E$14+'Budget Model'!$E$19+'Budget Model'!$E$24+'Budget Model'!$E$29</f>
        <v>44252.800000000003</v>
      </c>
      <c r="G22" s="43">
        <f>F22-$F$20</f>
        <v>3806</v>
      </c>
    </row>
    <row r="24" spans="2:8" ht="15" customHeight="1" x14ac:dyDescent="0.25">
      <c r="B24" s="40" t="s">
        <v>159</v>
      </c>
    </row>
    <row r="26" spans="2:8" ht="19.5" customHeight="1" x14ac:dyDescent="0.25">
      <c r="B26" s="11" t="s">
        <v>160</v>
      </c>
      <c r="C26" s="11"/>
      <c r="D26" s="11"/>
      <c r="E26" s="11"/>
      <c r="F26" s="11"/>
      <c r="G26" s="11"/>
      <c r="H26" s="11"/>
    </row>
    <row r="27" spans="2:8" ht="25.5" customHeight="1" x14ac:dyDescent="0.25">
      <c r="B27" s="6" t="s">
        <v>161</v>
      </c>
      <c r="C27" s="6"/>
      <c r="D27" s="6"/>
      <c r="E27" s="6"/>
      <c r="F27" s="6"/>
      <c r="G27" s="6"/>
      <c r="H27" s="6"/>
    </row>
    <row r="28" spans="2:8" ht="23.25" customHeight="1" x14ac:dyDescent="0.25">
      <c r="B28" s="36" t="s">
        <v>162</v>
      </c>
      <c r="C28" s="47" t="s">
        <v>163</v>
      </c>
      <c r="D28" s="47" t="s">
        <v>164</v>
      </c>
      <c r="E28" s="47" t="s">
        <v>165</v>
      </c>
    </row>
    <row r="29" spans="2:8" ht="15" customHeight="1" x14ac:dyDescent="0.25">
      <c r="B29" s="24" t="s">
        <v>166</v>
      </c>
      <c r="C29" s="39">
        <f>((Assumptions!$C$43*0.85)*(Assumptions!$C$38*0.5)*Assumptions!$C$26+(Assumptions!$C$44*0.85)*(Assumptions!$C$39*0.5)*Assumptions!$C$28+(Assumptions!$C$45*0.85)*(Assumptions!$C$40*0.5))-('Budget Model'!$E$9+'Budget Model'!$E$14+'Budget Model'!$E$19+'Budget Model'!$E$24+(ROUNDUP(((Assumptions!$C$40*0.5))/Assumptions!$C$48,0)*Assumptions!$C$34*Assumptions!$C$35)*Assumptions!$C$32+(ROUNDUP(((Assumptions!$C$40*0.5))/Assumptions!$C$48,0)*Assumptions!$C$34*(1-Assumptions!$C$35))*Assumptions!$C$33)</f>
        <v>-36598.025000000001</v>
      </c>
      <c r="D29" s="39">
        <f>((Assumptions!$C$43*1)*(Assumptions!$C$38*0.5)*Assumptions!$C$26+(Assumptions!$C$44*1)*(Assumptions!$C$39*0.5)*Assumptions!$C$28+(Assumptions!$C$45*1)*(Assumptions!$C$40*0.5))-('Budget Model'!$E$9+'Budget Model'!$E$14+'Budget Model'!$E$19+'Budget Model'!$E$24+(ROUNDUP(((Assumptions!$C$40*0.5))/Assumptions!$C$48,0)*Assumptions!$C$34*Assumptions!$C$35)*Assumptions!$C$32+(ROUNDUP(((Assumptions!$C$40*0.5))/Assumptions!$C$48,0)*Assumptions!$C$34*(1-Assumptions!$C$35))*Assumptions!$C$33)</f>
        <v>-35930.9</v>
      </c>
      <c r="E29" s="39">
        <f>((Assumptions!$C$43*1.15)*(Assumptions!$C$38*0.5)*Assumptions!$C$26+(Assumptions!$C$44*1.15)*(Assumptions!$C$39*0.5)*Assumptions!$C$28+(Assumptions!$C$45*1.15)*(Assumptions!$C$40*0.5))-('Budget Model'!$E$9+'Budget Model'!$E$14+'Budget Model'!$E$19+'Budget Model'!$E$24+(ROUNDUP(((Assumptions!$C$40*0.5))/Assumptions!$C$48,0)*Assumptions!$C$34*Assumptions!$C$35)*Assumptions!$C$32+(ROUNDUP(((Assumptions!$C$40*0.5))/Assumptions!$C$48,0)*Assumptions!$C$34*(1-Assumptions!$C$35))*Assumptions!$C$33)</f>
        <v>-35263.775000000001</v>
      </c>
    </row>
    <row r="30" spans="2:8" ht="15" customHeight="1" x14ac:dyDescent="0.25">
      <c r="B30" s="24" t="s">
        <v>167</v>
      </c>
      <c r="C30" s="39">
        <f>((Assumptions!$C$43*0.85)*(Assumptions!$C$38*1)*Assumptions!$C$26+(Assumptions!$C$44*0.85)*(Assumptions!$C$39*1)*Assumptions!$C$28+(Assumptions!$C$45*0.85)*(Assumptions!$C$40*1))-('Budget Model'!$E$9+'Budget Model'!$E$14+'Budget Model'!$E$19+'Budget Model'!$E$24+(ROUNDUP(((Assumptions!$C$40*1))/Assumptions!$C$48,0)*Assumptions!$C$34*Assumptions!$C$35)*Assumptions!$C$32+(ROUNDUP(((Assumptions!$C$40*1))/Assumptions!$C$48,0)*Assumptions!$C$34*(1-Assumptions!$C$35))*Assumptions!$C$33)</f>
        <v>-32886.050000000003</v>
      </c>
      <c r="D30" s="39">
        <f>((Assumptions!$C$43*1)*(Assumptions!$C$38*1)*Assumptions!$C$26+(Assumptions!$C$44*1)*(Assumptions!$C$39*1)*Assumptions!$C$28+(Assumptions!$C$45*1)*(Assumptions!$C$40*1))-('Budget Model'!$E$9+'Budget Model'!$E$14+'Budget Model'!$E$19+'Budget Model'!$E$24+(ROUNDUP(((Assumptions!$C$40*1))/Assumptions!$C$48,0)*Assumptions!$C$34*Assumptions!$C$35)*Assumptions!$C$32+(ROUNDUP(((Assumptions!$C$40*1))/Assumptions!$C$48,0)*Assumptions!$C$34*(1-Assumptions!$C$35))*Assumptions!$C$33)</f>
        <v>-31551.800000000003</v>
      </c>
      <c r="E30" s="39">
        <f>((Assumptions!$C$43*1.15)*(Assumptions!$C$38*1)*Assumptions!$C$26+(Assumptions!$C$44*1.15)*(Assumptions!$C$39*1)*Assumptions!$C$28+(Assumptions!$C$45*1.15)*(Assumptions!$C$40*1))-('Budget Model'!$E$9+'Budget Model'!$E$14+'Budget Model'!$E$19+'Budget Model'!$E$24+(ROUNDUP(((Assumptions!$C$40*1))/Assumptions!$C$48,0)*Assumptions!$C$34*Assumptions!$C$35)*Assumptions!$C$32+(ROUNDUP(((Assumptions!$C$40*1))/Assumptions!$C$48,0)*Assumptions!$C$34*(1-Assumptions!$C$35))*Assumptions!$C$33)</f>
        <v>-30217.550000000003</v>
      </c>
    </row>
    <row r="31" spans="2:8" ht="15" customHeight="1" x14ac:dyDescent="0.25">
      <c r="B31" s="24" t="s">
        <v>168</v>
      </c>
      <c r="C31" s="39">
        <f>((Assumptions!$C$43*0.85)*(Assumptions!$C$38*1.5)*Assumptions!$C$26+(Assumptions!$C$44*0.85)*(Assumptions!$C$39*1.5)*Assumptions!$C$28+(Assumptions!$C$45*0.85)*(Assumptions!$C$40*1.5))-('Budget Model'!$E$9+'Budget Model'!$E$14+'Budget Model'!$E$19+'Budget Model'!$E$24+(ROUNDUP(((Assumptions!$C$40*1.5))/Assumptions!$C$48,0)*Assumptions!$C$34*Assumptions!$C$35)*Assumptions!$C$32+(ROUNDUP(((Assumptions!$C$40*1.5))/Assumptions!$C$48,0)*Assumptions!$C$34*(1-Assumptions!$C$35))*Assumptions!$C$33)</f>
        <v>-29174.074999999997</v>
      </c>
      <c r="D31" s="39">
        <f>((Assumptions!$C$43*1)*(Assumptions!$C$38*1.5)*Assumptions!$C$26+(Assumptions!$C$44*1)*(Assumptions!$C$39*1.5)*Assumptions!$C$28+(Assumptions!$C$45*1)*(Assumptions!$C$40*1.5))-('Budget Model'!$E$9+'Budget Model'!$E$14+'Budget Model'!$E$19+'Budget Model'!$E$24+(ROUNDUP(((Assumptions!$C$40*1.5))/Assumptions!$C$48,0)*Assumptions!$C$34*Assumptions!$C$35)*Assumptions!$C$32+(ROUNDUP(((Assumptions!$C$40*1.5))/Assumptions!$C$48,0)*Assumptions!$C$34*(1-Assumptions!$C$35))*Assumptions!$C$33)</f>
        <v>-27172.699999999997</v>
      </c>
      <c r="E31" s="39">
        <f>((Assumptions!$C$43*1.15)*(Assumptions!$C$38*1.5)*Assumptions!$C$26+(Assumptions!$C$44*1.15)*(Assumptions!$C$39*1.5)*Assumptions!$C$28+(Assumptions!$C$45*1.15)*(Assumptions!$C$40*1.5))-('Budget Model'!$E$9+'Budget Model'!$E$14+'Budget Model'!$E$19+'Budget Model'!$E$24+(ROUNDUP(((Assumptions!$C$40*1.5))/Assumptions!$C$48,0)*Assumptions!$C$34*Assumptions!$C$35)*Assumptions!$C$32+(ROUNDUP(((Assumptions!$C$40*1.5))/Assumptions!$C$48,0)*Assumptions!$C$34*(1-Assumptions!$C$35))*Assumptions!$C$33)</f>
        <v>-25171.324999999997</v>
      </c>
    </row>
    <row r="33" spans="2:8" ht="15" customHeight="1" x14ac:dyDescent="0.25">
      <c r="B33" s="40" t="s">
        <v>169</v>
      </c>
    </row>
    <row r="35" spans="2:8" ht="19.5" customHeight="1" x14ac:dyDescent="0.25">
      <c r="B35" s="11" t="s">
        <v>170</v>
      </c>
      <c r="C35" s="11"/>
      <c r="D35" s="11"/>
      <c r="E35" s="11"/>
      <c r="F35" s="11"/>
      <c r="G35" s="11"/>
      <c r="H35" s="11"/>
    </row>
    <row r="36" spans="2:8" ht="25.5" customHeight="1" x14ac:dyDescent="0.25">
      <c r="B36" s="6" t="s">
        <v>171</v>
      </c>
      <c r="C36" s="6"/>
      <c r="D36" s="6"/>
      <c r="E36" s="6"/>
      <c r="F36" s="6"/>
      <c r="G36" s="6"/>
      <c r="H36" s="6"/>
    </row>
    <row r="37" spans="2:8" ht="27.75" customHeight="1" x14ac:dyDescent="0.25">
      <c r="B37" s="41" t="s">
        <v>172</v>
      </c>
      <c r="C37" s="41" t="s">
        <v>173</v>
      </c>
      <c r="D37" s="41" t="s">
        <v>174</v>
      </c>
      <c r="E37" s="41" t="s">
        <v>175</v>
      </c>
      <c r="F37" s="41" t="s">
        <v>176</v>
      </c>
      <c r="G37" s="41" t="s">
        <v>177</v>
      </c>
    </row>
    <row r="38" spans="2:8" ht="15" customHeight="1" x14ac:dyDescent="0.25">
      <c r="B38" s="48" t="s">
        <v>178</v>
      </c>
      <c r="C38" s="48" t="s">
        <v>179</v>
      </c>
      <c r="D38" s="48" t="s">
        <v>180</v>
      </c>
      <c r="E38" s="49">
        <f>(Assumptions!$C$10*0.9)*(Assumptions!$C$9*Assumptions!$C$6)+(Assumptions!$C$12*0.9)*(Assumptions!$C$11*Assumptions!$C$6)+'Budget Model'!$E$14+'Budget Model'!$E$19+'Budget Model'!$E$24+(ROUNDUP((Assumptions!$C$40)/Assumptions!$C$48,0)*Assumptions!$C$34*Assumptions!$C$35)*Assumptions!$C$32+(ROUNDUP((Assumptions!$C$40)/Assumptions!$C$48,0)*Assumptions!$C$34*(1-Assumptions!$C$35))*Assumptions!$C$33</f>
        <v>36640.800000000003</v>
      </c>
      <c r="F38" s="49">
        <f>(Assumptions!$C$10*1.1)*(Assumptions!$C$9*Assumptions!$C$6)+(Assumptions!$C$12*1.1)*(Assumptions!$C$11*Assumptions!$C$6)+'Budget Model'!$E$14+'Budget Model'!$E$19+'Budget Model'!$E$24+(ROUNDUP((Assumptions!$C$40)/Assumptions!$C$48,0)*Assumptions!$C$34*Assumptions!$C$35)*Assumptions!$C$32+(ROUNDUP((Assumptions!$C$40)/Assumptions!$C$48,0)*Assumptions!$C$34*(1-Assumptions!$C$35))*Assumptions!$C$33</f>
        <v>44252.800000000003</v>
      </c>
      <c r="G38" s="45">
        <f>ABS(F38-E38)</f>
        <v>7612</v>
      </c>
    </row>
    <row r="39" spans="2:8" ht="15" customHeight="1" x14ac:dyDescent="0.25">
      <c r="B39" s="48" t="s">
        <v>181</v>
      </c>
      <c r="C39" s="48" t="s">
        <v>182</v>
      </c>
      <c r="D39" s="48" t="s">
        <v>183</v>
      </c>
      <c r="E39" s="49">
        <f>'Budget Model'!$E$9+'Budget Model'!$E$14+'Budget Model'!$E$19+'Budget Model'!$E$24+((ROUNDUP(((Assumptions!$C$40*0.5))/Assumptions!$C$48,0)*Assumptions!$C$34*Assumptions!$C$35)*Assumptions!$C$32+(ROUNDUP(((Assumptions!$C$40*0.5))/Assumptions!$C$48,0)*Assumptions!$C$34*(1-Assumptions!$C$35))*Assumptions!$C$33)</f>
        <v>40378.400000000001</v>
      </c>
      <c r="F39" s="49">
        <f>'Budget Model'!$E$9+'Budget Model'!$E$14+'Budget Model'!$E$19+'Budget Model'!$E$24+((ROUNDUP(((Assumptions!$C$40*1.5))/Assumptions!$C$48,0)*Assumptions!$C$34*Assumptions!$C$35)*Assumptions!$C$32+(ROUNDUP(((Assumptions!$C$40*1.5))/Assumptions!$C$48,0)*Assumptions!$C$34*(1-Assumptions!$C$35))*Assumptions!$C$33)</f>
        <v>40515.199999999997</v>
      </c>
      <c r="G39" s="45">
        <f>ABS(F39-E39)</f>
        <v>136.79999999999563</v>
      </c>
    </row>
    <row r="40" spans="2:8" ht="15" customHeight="1" x14ac:dyDescent="0.25">
      <c r="B40" s="48" t="s">
        <v>184</v>
      </c>
      <c r="C40" s="48" t="s">
        <v>185</v>
      </c>
      <c r="D40" s="48" t="s">
        <v>186</v>
      </c>
      <c r="E40" s="49">
        <f>'Budget Model'!$E$9+'Budget Model'!$E$14+'Budget Model'!$E$19+'Budget Model'!$E$24+((ROUNDUP((Assumptions!$C$40)/Assumptions!$C$48,0)*1*Assumptions!$C$35)*Assumptions!$C$32+(ROUNDUP((Assumptions!$C$40)/Assumptions!$C$48,0)*1*(1-Assumptions!$C$35))*Assumptions!$C$33)</f>
        <v>40401.199999999997</v>
      </c>
      <c r="F40" s="49">
        <f>'Budget Model'!$E$9+'Budget Model'!$E$14+'Budget Model'!$E$19+'Budget Model'!$E$24+((ROUNDUP((Assumptions!$C$40)/Assumptions!$C$48,0)*2.5*Assumptions!$C$35)*Assumptions!$C$32+(ROUNDUP((Assumptions!$C$40)/Assumptions!$C$48,0)*2.5*(1-Assumptions!$C$35))*Assumptions!$C$33)</f>
        <v>40538</v>
      </c>
      <c r="G40" s="45">
        <f>ABS(F40-E40)</f>
        <v>136.80000000000291</v>
      </c>
    </row>
    <row r="41" spans="2:8" ht="15" customHeight="1" x14ac:dyDescent="0.25">
      <c r="B41" s="48" t="s">
        <v>187</v>
      </c>
      <c r="C41" s="48" t="s">
        <v>188</v>
      </c>
      <c r="D41" s="48" t="s">
        <v>189</v>
      </c>
      <c r="E41" s="49">
        <f>'Budget Model'!$E$9+'Budget Model'!$E$14+'Budget Model'!$E$19+'Budget Model'!$E$29+((Assumptions!$C$27*3)+(Assumptions!$C$29*1))</f>
        <v>40446.800000000003</v>
      </c>
      <c r="F41" s="49">
        <f>'Budget Model'!$E$9+'Budget Model'!$E$14+'Budget Model'!$E$19+'Budget Model'!$E$29+((Assumptions!$C$27*5)+(Assumptions!$C$29*2))</f>
        <v>41046.800000000003</v>
      </c>
      <c r="G41" s="45">
        <f>ABS(F41-E41)</f>
        <v>600</v>
      </c>
    </row>
    <row r="43" spans="2:8" ht="15" customHeight="1" x14ac:dyDescent="0.25">
      <c r="B43" s="40" t="s">
        <v>190</v>
      </c>
    </row>
  </sheetData>
  <mergeCells count="4">
    <mergeCell ref="B6:H6"/>
    <mergeCell ref="B16:H16"/>
    <mergeCell ref="B27:H27"/>
    <mergeCell ref="B36:H36"/>
  </mergeCells>
  <conditionalFormatting sqref="C29:E31">
    <cfRule type="colorScale" priority="3">
      <colorScale>
        <cfvo type="min"/>
        <cfvo type="num" val="0"/>
        <cfvo type="max"/>
        <color rgb="FFF8696B"/>
        <color rgb="FFFFEB84"/>
        <color rgb="FF63BE7B"/>
      </colorScale>
    </cfRule>
  </conditionalFormatting>
  <conditionalFormatting sqref="C8:F12">
    <cfRule type="colorScale" priority="2">
      <colorScale>
        <cfvo type="min"/>
        <cfvo type="max"/>
        <color rgb="FFC6E0B4"/>
        <color rgb="FFF8696B"/>
      </colorScale>
    </cfRule>
  </conditionalFormatting>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C00000"/>
  </sheetPr>
  <dimension ref="B2:F72"/>
  <sheetViews>
    <sheetView showGridLines="0" tabSelected="1" zoomScale="80" zoomScaleNormal="80" workbookViewId="0">
      <pane xSplit="2" ySplit="7" topLeftCell="C8" activePane="bottomRight" state="frozen"/>
      <selection pane="topRight" activeCell="C1" sqref="C1"/>
      <selection pane="bottomLeft" activeCell="A8" sqref="A8"/>
      <selection pane="bottomRight" activeCell="Q5" sqref="Q5"/>
    </sheetView>
  </sheetViews>
  <sheetFormatPr baseColWidth="10" defaultColWidth="8.7109375" defaultRowHeight="15" x14ac:dyDescent="0.25"/>
  <cols>
    <col min="1" max="1" width="3" customWidth="1"/>
    <col min="2" max="2" width="34" customWidth="1"/>
    <col min="3" max="4" width="16" customWidth="1"/>
    <col min="5" max="5" width="4" customWidth="1"/>
    <col min="6" max="6" width="44" customWidth="1"/>
  </cols>
  <sheetData>
    <row r="2" spans="2:6" ht="19.5" customHeight="1" x14ac:dyDescent="0.3">
      <c r="B2" s="7" t="s">
        <v>191</v>
      </c>
    </row>
    <row r="3" spans="2:6" ht="15" customHeight="1" x14ac:dyDescent="0.25">
      <c r="B3" s="8" t="s">
        <v>192</v>
      </c>
    </row>
    <row r="4" spans="2:6" ht="9.75" customHeight="1" x14ac:dyDescent="0.25"/>
    <row r="5" spans="2:6" ht="48.75" customHeight="1" x14ac:dyDescent="0.25">
      <c r="B5" s="5" t="s">
        <v>193</v>
      </c>
      <c r="C5" s="5"/>
      <c r="D5" s="5"/>
      <c r="E5" s="5"/>
      <c r="F5" s="5"/>
    </row>
    <row r="6" spans="2:6" ht="6" customHeight="1" x14ac:dyDescent="0.25"/>
    <row r="7" spans="2:6" ht="19.5" customHeight="1" x14ac:dyDescent="0.25">
      <c r="C7" s="50" t="s">
        <v>194</v>
      </c>
      <c r="D7" s="50" t="s">
        <v>195</v>
      </c>
    </row>
    <row r="8" spans="2:6" ht="18" customHeight="1" x14ac:dyDescent="0.25">
      <c r="B8" s="11" t="s">
        <v>196</v>
      </c>
      <c r="C8" s="11"/>
      <c r="D8" s="11"/>
    </row>
    <row r="9" spans="2:6" ht="15" customHeight="1" x14ac:dyDescent="0.25">
      <c r="B9" s="12" t="s">
        <v>197</v>
      </c>
      <c r="C9" s="51">
        <f>Assumptions!$C$52</f>
        <v>3</v>
      </c>
      <c r="D9" s="51">
        <f>Assumptions!$C$54</f>
        <v>5</v>
      </c>
    </row>
    <row r="10" spans="2:6" ht="15" customHeight="1" x14ac:dyDescent="0.25">
      <c r="B10" s="12" t="s">
        <v>198</v>
      </c>
      <c r="C10" s="51">
        <f>Assumptions!$C$53</f>
        <v>1</v>
      </c>
      <c r="D10" s="51">
        <f>Assumptions!$C$55</f>
        <v>2</v>
      </c>
    </row>
    <row r="11" spans="2:6" ht="15" customHeight="1" x14ac:dyDescent="0.25">
      <c r="B11" s="12" t="s">
        <v>199</v>
      </c>
      <c r="C11" s="52">
        <f>Assumptions!$C$51</f>
        <v>2</v>
      </c>
      <c r="D11" s="52">
        <f>Assumptions!$C$51</f>
        <v>2</v>
      </c>
    </row>
    <row r="13" spans="2:6" ht="18" customHeight="1" x14ac:dyDescent="0.25">
      <c r="B13" s="11" t="s">
        <v>200</v>
      </c>
      <c r="C13" s="11"/>
      <c r="D13" s="11"/>
    </row>
    <row r="14" spans="2:6" ht="15" customHeight="1" x14ac:dyDescent="0.25">
      <c r="B14" s="12" t="s">
        <v>201</v>
      </c>
      <c r="C14" s="53">
        <f>'Budget Model'!$E$9</f>
        <v>38060</v>
      </c>
      <c r="D14" s="53">
        <f>'Budget Model'!$E$9</f>
        <v>38060</v>
      </c>
    </row>
    <row r="15" spans="2:6" ht="15" customHeight="1" x14ac:dyDescent="0.25">
      <c r="B15" s="12" t="s">
        <v>202</v>
      </c>
      <c r="C15" s="53">
        <f>'Budget Model'!$E$14</f>
        <v>1200</v>
      </c>
      <c r="D15" s="53">
        <f>'Budget Model'!$E$14</f>
        <v>1200</v>
      </c>
    </row>
    <row r="16" spans="2:6" ht="15" customHeight="1" x14ac:dyDescent="0.25">
      <c r="B16" s="12" t="s">
        <v>203</v>
      </c>
      <c r="C16" s="39">
        <f>Assumptions!$C$22*(C9+C10)</f>
        <v>240</v>
      </c>
      <c r="D16" s="39">
        <f>Assumptions!$C$22*(D9+D10)</f>
        <v>420</v>
      </c>
    </row>
    <row r="17" spans="2:6" ht="15" customHeight="1" x14ac:dyDescent="0.25">
      <c r="B17" s="12" t="s">
        <v>204</v>
      </c>
      <c r="C17" s="39">
        <f>Assumptions!$C$27*C9+Assumptions!$C$29*C10</f>
        <v>750</v>
      </c>
      <c r="D17" s="39">
        <f>Assumptions!$C$27*D9+Assumptions!$C$29*D10</f>
        <v>1350</v>
      </c>
    </row>
    <row r="18" spans="2:6" ht="15" customHeight="1" x14ac:dyDescent="0.25">
      <c r="B18" s="54" t="s">
        <v>205</v>
      </c>
      <c r="C18" s="55">
        <f>SUM(C14:C17)</f>
        <v>40250</v>
      </c>
      <c r="D18" s="55">
        <f>SUM(D14:D17)</f>
        <v>41030</v>
      </c>
    </row>
    <row r="20" spans="2:6" ht="18" customHeight="1" x14ac:dyDescent="0.25">
      <c r="B20" s="11" t="s">
        <v>206</v>
      </c>
      <c r="C20" s="11"/>
      <c r="D20" s="11"/>
    </row>
    <row r="21" spans="2:6" ht="15" customHeight="1" x14ac:dyDescent="0.25">
      <c r="B21" s="12" t="s">
        <v>207</v>
      </c>
      <c r="C21" s="56">
        <f>Assumptions!$C$43</f>
        <v>45</v>
      </c>
      <c r="D21" s="56">
        <f>Assumptions!$C$43</f>
        <v>45</v>
      </c>
    </row>
    <row r="22" spans="2:6" ht="15" customHeight="1" x14ac:dyDescent="0.25">
      <c r="B22" s="12" t="s">
        <v>208</v>
      </c>
      <c r="C22" s="56">
        <f>Assumptions!$C$44</f>
        <v>85</v>
      </c>
      <c r="D22" s="56">
        <f>Assumptions!$C$44</f>
        <v>85</v>
      </c>
    </row>
    <row r="23" spans="2:6" ht="15" customHeight="1" x14ac:dyDescent="0.25">
      <c r="B23" s="12" t="s">
        <v>73</v>
      </c>
      <c r="C23" s="56">
        <f>Assumptions!$C$45</f>
        <v>150</v>
      </c>
      <c r="D23" s="56">
        <f>Assumptions!$C$45</f>
        <v>150</v>
      </c>
    </row>
    <row r="24" spans="2:6" ht="15" customHeight="1" x14ac:dyDescent="0.25">
      <c r="B24" s="12" t="s">
        <v>209</v>
      </c>
      <c r="C24" s="57">
        <f>(Assumptions!$C$34/Assumptions!$C$48)*(Assumptions!$C$35*Assumptions!$C$32+(1-Assumptions!$C$35)*Assumptions!$C$33)</f>
        <v>3.4199999999999995</v>
      </c>
      <c r="D24" s="57">
        <f>(Assumptions!$C$34/Assumptions!$C$48)*(Assumptions!$C$35*Assumptions!$C$32+(1-Assumptions!$C$35)*Assumptions!$C$33)</f>
        <v>3.4199999999999995</v>
      </c>
    </row>
    <row r="25" spans="2:6" ht="15" customHeight="1" x14ac:dyDescent="0.25">
      <c r="B25" s="58" t="s">
        <v>210</v>
      </c>
      <c r="C25" s="57">
        <f>C23-C24</f>
        <v>146.58000000000001</v>
      </c>
      <c r="D25" s="57">
        <f>D23-D24</f>
        <v>146.58000000000001</v>
      </c>
    </row>
    <row r="27" spans="2:6" ht="39" customHeight="1" x14ac:dyDescent="0.25">
      <c r="B27" s="5" t="s">
        <v>211</v>
      </c>
      <c r="C27" s="5"/>
      <c r="D27" s="5"/>
      <c r="E27" s="5"/>
      <c r="F27" s="5"/>
    </row>
    <row r="29" spans="2:6" ht="18" customHeight="1" x14ac:dyDescent="0.25">
      <c r="B29" s="11" t="s">
        <v>212</v>
      </c>
      <c r="C29" s="11"/>
      <c r="D29" s="11"/>
    </row>
    <row r="30" spans="2:6" ht="15" customHeight="1" x14ac:dyDescent="0.25">
      <c r="B30" s="12" t="s">
        <v>213</v>
      </c>
      <c r="C30" s="59">
        <f>Assumptions!$C$38</f>
        <v>12</v>
      </c>
      <c r="D30" s="59">
        <f>Assumptions!$C$38</f>
        <v>12</v>
      </c>
    </row>
    <row r="31" spans="2:6" ht="15" customHeight="1" x14ac:dyDescent="0.25">
      <c r="B31" s="12" t="s">
        <v>214</v>
      </c>
      <c r="C31" s="59">
        <f>Assumptions!$C$39</f>
        <v>15</v>
      </c>
      <c r="D31" s="59">
        <f>Assumptions!$C$39</f>
        <v>15</v>
      </c>
    </row>
    <row r="32" spans="2:6" ht="15" customHeight="1" x14ac:dyDescent="0.25">
      <c r="B32" s="12" t="s">
        <v>215</v>
      </c>
      <c r="C32" s="59">
        <f>Assumptions!$C$40</f>
        <v>40</v>
      </c>
      <c r="D32" s="59">
        <f>Assumptions!$C$40</f>
        <v>40</v>
      </c>
    </row>
    <row r="33" spans="2:6" ht="15" customHeight="1" x14ac:dyDescent="0.25">
      <c r="B33" s="12" t="s">
        <v>216</v>
      </c>
      <c r="C33" s="39">
        <f>C21*C30*C9</f>
        <v>1620</v>
      </c>
      <c r="D33" s="39">
        <f>D21*D30*D9</f>
        <v>2700</v>
      </c>
    </row>
    <row r="34" spans="2:6" ht="15" customHeight="1" x14ac:dyDescent="0.25">
      <c r="B34" s="12" t="s">
        <v>217</v>
      </c>
      <c r="C34" s="39">
        <f>C22*C31*C10</f>
        <v>1275</v>
      </c>
      <c r="D34" s="39">
        <f>D22*D31*D10</f>
        <v>2550</v>
      </c>
    </row>
    <row r="35" spans="2:6" ht="15" customHeight="1" x14ac:dyDescent="0.25">
      <c r="B35" s="12" t="s">
        <v>218</v>
      </c>
      <c r="C35" s="39">
        <f>C23*C32-((ROUNDUP((C32)/Assumptions!$C$48,0)*Assumptions!$C$34*Assumptions!$C$35)*Assumptions!$C$32+(ROUNDUP((C32)/Assumptions!$C$48,0)*Assumptions!$C$34*(1-Assumptions!$C$35))*Assumptions!$C$33)</f>
        <v>5863.2</v>
      </c>
      <c r="D35" s="39">
        <f>D23*D32-((ROUNDUP((D32)/Assumptions!$C$48,0)*Assumptions!$C$34*Assumptions!$C$35)*Assumptions!$C$32+(ROUNDUP((D32)/Assumptions!$C$48,0)*Assumptions!$C$34*(1-Assumptions!$C$35))*Assumptions!$C$33)</f>
        <v>5863.2</v>
      </c>
    </row>
    <row r="36" spans="2:6" ht="15" customHeight="1" x14ac:dyDescent="0.25">
      <c r="B36" s="54" t="s">
        <v>219</v>
      </c>
      <c r="C36" s="55">
        <f>C33+C34+C35</f>
        <v>8758.2000000000007</v>
      </c>
      <c r="D36" s="55">
        <f>D33+D34+D35</f>
        <v>11113.2</v>
      </c>
    </row>
    <row r="37" spans="2:6" ht="15" customHeight="1" x14ac:dyDescent="0.25">
      <c r="B37" s="60" t="s">
        <v>220</v>
      </c>
      <c r="C37" s="61">
        <f>C36-C18</f>
        <v>-31491.8</v>
      </c>
      <c r="D37" s="61">
        <f>D36-D18</f>
        <v>-29916.799999999999</v>
      </c>
    </row>
    <row r="39" spans="2:6" ht="18" customHeight="1" x14ac:dyDescent="0.25">
      <c r="B39" s="11" t="s">
        <v>221</v>
      </c>
      <c r="C39" s="11"/>
      <c r="D39" s="11"/>
    </row>
    <row r="40" spans="2:6" ht="15" customHeight="1" x14ac:dyDescent="0.25">
      <c r="B40" s="12" t="s">
        <v>222</v>
      </c>
      <c r="C40" s="62">
        <f>(C18-(C34+C35))/(C21*C9)</f>
        <v>245.27259259259262</v>
      </c>
      <c r="D40" s="62">
        <f>(D18-(D34+D35))/(D21*D9)</f>
        <v>144.96355555555556</v>
      </c>
    </row>
    <row r="41" spans="2:6" ht="15" customHeight="1" x14ac:dyDescent="0.25">
      <c r="B41" s="12" t="s">
        <v>223</v>
      </c>
      <c r="C41" s="63">
        <f>C40/C30</f>
        <v>20.439382716049384</v>
      </c>
      <c r="D41" s="63">
        <f>D40/D30</f>
        <v>12.080296296296297</v>
      </c>
    </row>
    <row r="42" spans="2:6" ht="15" customHeight="1" x14ac:dyDescent="0.25">
      <c r="B42" s="12" t="s">
        <v>224</v>
      </c>
      <c r="C42" s="62">
        <f>(C18-(C33+C35))/(C22*C10)</f>
        <v>385.49176470588236</v>
      </c>
      <c r="D42" s="62">
        <f>(D18-(D33+D35))/(D22*D10)</f>
        <v>190.98117647058822</v>
      </c>
    </row>
    <row r="43" spans="2:6" ht="15" customHeight="1" x14ac:dyDescent="0.25">
      <c r="B43" s="12" t="s">
        <v>225</v>
      </c>
      <c r="C43" s="63">
        <f>C42/C31</f>
        <v>25.699450980392157</v>
      </c>
      <c r="D43" s="63">
        <f>D42/D31</f>
        <v>12.732078431372548</v>
      </c>
    </row>
    <row r="44" spans="2:6" ht="15" customHeight="1" x14ac:dyDescent="0.25">
      <c r="B44" s="12" t="s">
        <v>226</v>
      </c>
      <c r="C44" s="62">
        <f>(C18-(C33+C34))/C25</f>
        <v>254.84377131941599</v>
      </c>
      <c r="D44" s="62">
        <f>(D18-(D33+D34))/D25</f>
        <v>244.09878564606356</v>
      </c>
    </row>
    <row r="45" spans="2:6" ht="15" customHeight="1" x14ac:dyDescent="0.25">
      <c r="B45" s="12" t="s">
        <v>227</v>
      </c>
      <c r="C45" s="63">
        <f>C44/C32</f>
        <v>6.3710942829853998</v>
      </c>
      <c r="D45" s="63">
        <f>D44/D32</f>
        <v>6.1024696411515889</v>
      </c>
    </row>
    <row r="47" spans="2:6" ht="25.5" customHeight="1" x14ac:dyDescent="0.25">
      <c r="B47" s="5" t="s">
        <v>228</v>
      </c>
      <c r="C47" s="5"/>
      <c r="D47" s="5"/>
      <c r="E47" s="5"/>
      <c r="F47" s="5"/>
    </row>
    <row r="48" spans="2:6" ht="15" customHeight="1" x14ac:dyDescent="0.25">
      <c r="B48" s="12" t="s">
        <v>229</v>
      </c>
      <c r="C48" s="62">
        <f>CEILING(C44,10)</f>
        <v>260</v>
      </c>
      <c r="D48" s="62">
        <f>CEILING(D44,10)</f>
        <v>250</v>
      </c>
    </row>
    <row r="49" spans="2:6" ht="15" customHeight="1" x14ac:dyDescent="0.25">
      <c r="B49" s="12" t="s">
        <v>230</v>
      </c>
      <c r="C49" s="39">
        <f>(C33+C34+C23*C48-((ROUNDUP((C48)/Assumptions!$C$48,0)*Assumptions!$C$34*Assumptions!$C$35)*Assumptions!$C$32+(ROUNDUP((C48)/Assumptions!$C$48,0)*Assumptions!$C$34*(1-Assumptions!$C$35))*Assumptions!$C$33))-C18</f>
        <v>755.80000000000291</v>
      </c>
      <c r="D49" s="39">
        <f>(D33+D34+D23*D48-((ROUNDUP((D48)/Assumptions!$C$48,0)*Assumptions!$C$34*Assumptions!$C$35)*Assumptions!$C$32+(ROUNDUP((D48)/Assumptions!$C$48,0)*Assumptions!$C$34*(1-Assumptions!$C$35))*Assumptions!$C$33))-D18</f>
        <v>865</v>
      </c>
    </row>
    <row r="51" spans="2:6" ht="18" customHeight="1" x14ac:dyDescent="0.25">
      <c r="B51" s="11" t="s">
        <v>231</v>
      </c>
      <c r="C51" s="11"/>
      <c r="D51" s="11"/>
    </row>
    <row r="52" spans="2:6" ht="25.5" customHeight="1" x14ac:dyDescent="0.25">
      <c r="B52" s="5" t="s">
        <v>232</v>
      </c>
      <c r="C52" s="5"/>
      <c r="D52" s="5"/>
      <c r="E52" s="5"/>
      <c r="F52" s="5"/>
    </row>
    <row r="53" spans="2:6" ht="15" customHeight="1" x14ac:dyDescent="0.25">
      <c r="B53" s="12" t="s">
        <v>233</v>
      </c>
      <c r="C53" s="39">
        <f>C21*C30*C9+C22*C31*C10+C23*C32</f>
        <v>8895</v>
      </c>
      <c r="D53" s="39">
        <f>D21*D30*D9+D22*D31*D10+D23*D32</f>
        <v>11250</v>
      </c>
    </row>
    <row r="54" spans="2:6" ht="15" customHeight="1" x14ac:dyDescent="0.25">
      <c r="B54" s="54" t="s">
        <v>234</v>
      </c>
      <c r="C54" s="64">
        <f>C18/(C53-C24*C32)</f>
        <v>4.5956931789637139</v>
      </c>
      <c r="D54" s="64">
        <f>D18/(D53-D24*D32)</f>
        <v>3.6920059028902563</v>
      </c>
    </row>
    <row r="57" spans="2:6" ht="19.5" customHeight="1" x14ac:dyDescent="0.25">
      <c r="B57" s="11" t="s">
        <v>235</v>
      </c>
      <c r="C57" s="11"/>
      <c r="D57" s="11"/>
    </row>
    <row r="58" spans="2:6" ht="15" customHeight="1" x14ac:dyDescent="0.25">
      <c r="B58" s="58" t="s">
        <v>236</v>
      </c>
      <c r="C58" s="58" t="s">
        <v>194</v>
      </c>
      <c r="D58" s="58" t="s">
        <v>195</v>
      </c>
    </row>
    <row r="59" spans="2:6" ht="15" customHeight="1" x14ac:dyDescent="0.25">
      <c r="B59" s="12" t="s">
        <v>237</v>
      </c>
      <c r="C59" s="65">
        <f>C41</f>
        <v>20.439382716049384</v>
      </c>
      <c r="D59" s="65">
        <f>D41</f>
        <v>12.080296296296297</v>
      </c>
    </row>
    <row r="60" spans="2:6" ht="15" customHeight="1" x14ac:dyDescent="0.25">
      <c r="B60" s="12" t="s">
        <v>238</v>
      </c>
      <c r="C60" s="65">
        <f>C43</f>
        <v>25.699450980392157</v>
      </c>
      <c r="D60" s="65">
        <f>D43</f>
        <v>12.732078431372548</v>
      </c>
    </row>
    <row r="61" spans="2:6" ht="15" customHeight="1" x14ac:dyDescent="0.25">
      <c r="B61" s="12" t="s">
        <v>239</v>
      </c>
      <c r="C61" s="65">
        <f>C45</f>
        <v>6.3710942829853998</v>
      </c>
      <c r="D61" s="65">
        <f>D45</f>
        <v>6.1024696411515889</v>
      </c>
    </row>
    <row r="62" spans="2:6" ht="15" customHeight="1" x14ac:dyDescent="0.25">
      <c r="B62" s="12" t="s">
        <v>240</v>
      </c>
      <c r="C62" s="65">
        <f>C54</f>
        <v>4.5956931789637139</v>
      </c>
      <c r="D62" s="65">
        <f>D54</f>
        <v>3.6920059028902563</v>
      </c>
    </row>
    <row r="64" spans="2:6" ht="19.5" customHeight="1" x14ac:dyDescent="0.25">
      <c r="B64" s="18" t="s">
        <v>241</v>
      </c>
      <c r="C64" s="18"/>
      <c r="D64" s="18"/>
    </row>
    <row r="65" spans="2:6" ht="64.5" customHeight="1" x14ac:dyDescent="0.25">
      <c r="B65" s="4" t="s">
        <v>302</v>
      </c>
      <c r="C65" s="4"/>
      <c r="D65" s="4"/>
      <c r="E65" s="4"/>
      <c r="F65" s="4"/>
    </row>
    <row r="66" spans="2:6" ht="51.75" customHeight="1" x14ac:dyDescent="0.25">
      <c r="B66" s="3" t="s">
        <v>303</v>
      </c>
      <c r="C66" s="3"/>
      <c r="D66" s="3"/>
      <c r="E66" s="3"/>
      <c r="F66" s="3"/>
    </row>
    <row r="67" spans="2:6" ht="51.75" customHeight="1" x14ac:dyDescent="0.25">
      <c r="B67" s="3" t="s">
        <v>242</v>
      </c>
      <c r="C67" s="3"/>
      <c r="D67" s="3"/>
      <c r="E67" s="3"/>
      <c r="F67" s="3"/>
    </row>
    <row r="68" spans="2:6" ht="64.5" customHeight="1" x14ac:dyDescent="0.25">
      <c r="B68" s="3" t="s">
        <v>304</v>
      </c>
      <c r="C68" s="3"/>
      <c r="D68" s="3"/>
      <c r="E68" s="3"/>
      <c r="F68" s="3"/>
    </row>
    <row r="69" spans="2:6" ht="39" customHeight="1" x14ac:dyDescent="0.25">
      <c r="B69" s="3" t="s">
        <v>305</v>
      </c>
      <c r="C69" s="3"/>
      <c r="D69" s="3"/>
      <c r="E69" s="3"/>
      <c r="F69" s="3"/>
    </row>
    <row r="70" spans="2:6" ht="90.75" customHeight="1" x14ac:dyDescent="0.25">
      <c r="B70" s="4" t="s">
        <v>307</v>
      </c>
      <c r="C70" s="4"/>
      <c r="D70" s="4"/>
      <c r="E70" s="4"/>
      <c r="F70" s="4"/>
    </row>
    <row r="72" spans="2:6" ht="51.75" customHeight="1" x14ac:dyDescent="0.25">
      <c r="B72" s="3" t="s">
        <v>306</v>
      </c>
      <c r="C72" s="3"/>
      <c r="D72" s="3"/>
      <c r="E72" s="3"/>
      <c r="F72" s="3"/>
    </row>
  </sheetData>
  <mergeCells count="11">
    <mergeCell ref="B72:F72"/>
    <mergeCell ref="B66:F66"/>
    <mergeCell ref="B67:F67"/>
    <mergeCell ref="B68:F68"/>
    <mergeCell ref="B69:F69"/>
    <mergeCell ref="B70:F70"/>
    <mergeCell ref="B5:F5"/>
    <mergeCell ref="B27:F27"/>
    <mergeCell ref="B47:F47"/>
    <mergeCell ref="B52:F52"/>
    <mergeCell ref="B65:F65"/>
  </mergeCells>
  <pageMargins left="0.75" right="0.75" top="1" bottom="1" header="0.511811023622047" footer="0.511811023622047"/>
  <pageSetup paperSize="9" orientation="portrait" horizontalDpi="300" verticalDpi="300"/>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B050"/>
  </sheetPr>
  <dimension ref="B2:F69"/>
  <sheetViews>
    <sheetView showGridLines="0" zoomScale="70" zoomScaleNormal="70" workbookViewId="0">
      <pane xSplit="2" ySplit="7" topLeftCell="C9" activePane="bottomRight" state="frozen"/>
      <selection pane="topRight" activeCell="C1" sqref="C1"/>
      <selection pane="bottomLeft" activeCell="A8" sqref="A8"/>
      <selection pane="bottomRight" activeCell="M17" sqref="M17"/>
    </sheetView>
  </sheetViews>
  <sheetFormatPr baseColWidth="10" defaultColWidth="8.7109375" defaultRowHeight="15" x14ac:dyDescent="0.25"/>
  <cols>
    <col min="1" max="1" width="3" customWidth="1"/>
    <col min="2" max="2" width="36" customWidth="1"/>
    <col min="3" max="4" width="15" customWidth="1"/>
    <col min="5" max="5" width="4" customWidth="1"/>
    <col min="6" max="6" width="44" customWidth="1"/>
  </cols>
  <sheetData>
    <row r="2" spans="2:6" ht="19.5" customHeight="1" x14ac:dyDescent="0.3">
      <c r="B2" s="7" t="s">
        <v>243</v>
      </c>
    </row>
    <row r="3" spans="2:6" ht="15" customHeight="1" x14ac:dyDescent="0.25">
      <c r="B3" s="8" t="s">
        <v>244</v>
      </c>
    </row>
    <row r="5" spans="2:6" ht="63" customHeight="1" x14ac:dyDescent="0.25">
      <c r="B5" s="4" t="s">
        <v>308</v>
      </c>
      <c r="C5" s="4"/>
      <c r="D5" s="4"/>
      <c r="E5" s="4"/>
      <c r="F5" s="4"/>
    </row>
    <row r="6" spans="2:6" ht="5.25" customHeight="1" x14ac:dyDescent="0.25"/>
    <row r="7" spans="2:6" ht="19.5" customHeight="1" x14ac:dyDescent="0.25">
      <c r="C7" s="50" t="s">
        <v>245</v>
      </c>
      <c r="D7" s="50" t="s">
        <v>246</v>
      </c>
    </row>
    <row r="8" spans="2:6" ht="18" customHeight="1" x14ac:dyDescent="0.25">
      <c r="B8" s="11" t="s">
        <v>196</v>
      </c>
      <c r="C8" s="11"/>
      <c r="D8" s="11"/>
    </row>
    <row r="9" spans="2:6" ht="15" customHeight="1" x14ac:dyDescent="0.25">
      <c r="B9" s="12" t="s">
        <v>247</v>
      </c>
      <c r="C9" s="66">
        <f>Assumptions!$C$58</f>
        <v>15</v>
      </c>
      <c r="D9" s="66">
        <f>Assumptions!$C$58</f>
        <v>15</v>
      </c>
    </row>
    <row r="10" spans="2:6" ht="15" customHeight="1" x14ac:dyDescent="0.25">
      <c r="B10" s="12" t="s">
        <v>248</v>
      </c>
      <c r="C10" s="66">
        <f>Assumptions!$C$59</f>
        <v>20</v>
      </c>
      <c r="D10" s="66">
        <f>Assumptions!$C$59</f>
        <v>20</v>
      </c>
    </row>
    <row r="11" spans="2:6" ht="15" customHeight="1" x14ac:dyDescent="0.25">
      <c r="B11" s="12" t="s">
        <v>249</v>
      </c>
      <c r="C11" s="51">
        <f>Assumptions!$C$52</f>
        <v>3</v>
      </c>
      <c r="D11" s="51">
        <f>Assumptions!$C$52</f>
        <v>3</v>
      </c>
    </row>
    <row r="12" spans="2:6" ht="15" customHeight="1" x14ac:dyDescent="0.25">
      <c r="B12" s="12" t="s">
        <v>250</v>
      </c>
      <c r="C12" s="51">
        <f>Assumptions!$C$61</f>
        <v>2</v>
      </c>
      <c r="D12" s="51">
        <f>Assumptions!$C$62</f>
        <v>3</v>
      </c>
    </row>
    <row r="13" spans="2:6" ht="15" customHeight="1" x14ac:dyDescent="0.25">
      <c r="B13" s="58" t="s">
        <v>251</v>
      </c>
      <c r="C13" s="67">
        <f>C11+C12</f>
        <v>5</v>
      </c>
      <c r="D13" s="67">
        <f>D11+D12</f>
        <v>6</v>
      </c>
    </row>
    <row r="14" spans="2:6" ht="15" customHeight="1" x14ac:dyDescent="0.25">
      <c r="B14" s="12" t="s">
        <v>252</v>
      </c>
      <c r="C14" s="51">
        <f>Assumptions!$C$53</f>
        <v>1</v>
      </c>
      <c r="D14" s="51">
        <f>Assumptions!$C$53</f>
        <v>1</v>
      </c>
    </row>
    <row r="15" spans="2:6" ht="15" customHeight="1" x14ac:dyDescent="0.25">
      <c r="B15" s="12" t="s">
        <v>199</v>
      </c>
      <c r="C15" s="52">
        <f>Assumptions!$C$51</f>
        <v>2</v>
      </c>
      <c r="D15" s="52">
        <f>Assumptions!$C$51</f>
        <v>2</v>
      </c>
    </row>
    <row r="16" spans="2:6" ht="15" customHeight="1" x14ac:dyDescent="0.25">
      <c r="B16" s="12" t="s">
        <v>253</v>
      </c>
      <c r="C16" s="68">
        <f>Assumptions!$C$63</f>
        <v>2</v>
      </c>
      <c r="D16" s="68">
        <f>Assumptions!$C$64</f>
        <v>3</v>
      </c>
    </row>
    <row r="17" spans="2:4" ht="15" customHeight="1" x14ac:dyDescent="0.25">
      <c r="B17" s="12" t="s">
        <v>101</v>
      </c>
      <c r="C17" s="59">
        <f>Assumptions!$C$65</f>
        <v>20</v>
      </c>
      <c r="D17" s="59">
        <f>Assumptions!$C$65</f>
        <v>20</v>
      </c>
    </row>
    <row r="18" spans="2:4" ht="15" customHeight="1" x14ac:dyDescent="0.25">
      <c r="B18" s="58" t="s">
        <v>254</v>
      </c>
      <c r="C18" s="62">
        <f>C15*C16*C17</f>
        <v>80</v>
      </c>
      <c r="D18" s="62">
        <f>D15*D16*D17</f>
        <v>120</v>
      </c>
    </row>
    <row r="20" spans="2:4" ht="18" customHeight="1" x14ac:dyDescent="0.25">
      <c r="B20" s="11" t="s">
        <v>255</v>
      </c>
      <c r="C20" s="11"/>
      <c r="D20" s="11"/>
    </row>
    <row r="21" spans="2:4" ht="15" customHeight="1" x14ac:dyDescent="0.25">
      <c r="B21" s="12" t="s">
        <v>111</v>
      </c>
      <c r="C21" s="39">
        <f>Assumptions!$C$10*C9*Assumptions!$C$6</f>
        <v>13200</v>
      </c>
      <c r="D21" s="39">
        <f>Assumptions!$C$10*D9*Assumptions!$C$6</f>
        <v>13200</v>
      </c>
    </row>
    <row r="22" spans="2:4" ht="15" customHeight="1" x14ac:dyDescent="0.25">
      <c r="B22" s="12" t="s">
        <v>113</v>
      </c>
      <c r="C22" s="39">
        <f>Assumptions!$C$12*C10*Assumptions!$C$6</f>
        <v>13200</v>
      </c>
      <c r="D22" s="39">
        <f>Assumptions!$C$12*D10*Assumptions!$C$6</f>
        <v>13200</v>
      </c>
    </row>
    <row r="23" spans="2:4" ht="15" customHeight="1" x14ac:dyDescent="0.25">
      <c r="B23" s="54" t="s">
        <v>114</v>
      </c>
      <c r="C23" s="55">
        <f>C21+C22</f>
        <v>26400</v>
      </c>
      <c r="D23" s="55">
        <f>D21+D22</f>
        <v>26400</v>
      </c>
    </row>
    <row r="24" spans="2:4" ht="15" customHeight="1" x14ac:dyDescent="0.25">
      <c r="B24" s="12" t="s">
        <v>202</v>
      </c>
      <c r="C24" s="53">
        <f>Assumptions!$C$16*Assumptions!$C$17+Assumptions!$C$18</f>
        <v>1200</v>
      </c>
      <c r="D24" s="53">
        <f>Assumptions!$C$16*Assumptions!$C$17+Assumptions!$C$18</f>
        <v>1200</v>
      </c>
    </row>
    <row r="25" spans="2:4" ht="15" customHeight="1" x14ac:dyDescent="0.25">
      <c r="B25" s="12" t="s">
        <v>256</v>
      </c>
      <c r="C25" s="39">
        <f>Assumptions!$C$22*(C13+C14+C16)</f>
        <v>480</v>
      </c>
      <c r="D25" s="39">
        <f>Assumptions!$C$22*(D13+D14+D16)</f>
        <v>600</v>
      </c>
    </row>
    <row r="26" spans="2:4" ht="15" customHeight="1" x14ac:dyDescent="0.25">
      <c r="B26" s="12" t="s">
        <v>204</v>
      </c>
      <c r="C26" s="39">
        <f>Assumptions!$C$27*C13+Assumptions!$C$29*C14</f>
        <v>1050</v>
      </c>
      <c r="D26" s="39">
        <f>Assumptions!$C$27*D13+Assumptions!$C$29*D14</f>
        <v>1200</v>
      </c>
    </row>
    <row r="27" spans="2:4" ht="15" customHeight="1" x14ac:dyDescent="0.25">
      <c r="B27" s="54" t="s">
        <v>205</v>
      </c>
      <c r="C27" s="55">
        <f>C23+C24+C25+C26</f>
        <v>29130</v>
      </c>
      <c r="D27" s="55">
        <f>D23+D24+D25+D26</f>
        <v>29400</v>
      </c>
    </row>
    <row r="29" spans="2:4" ht="18" customHeight="1" x14ac:dyDescent="0.25">
      <c r="B29" s="11" t="s">
        <v>257</v>
      </c>
      <c r="C29" s="11"/>
      <c r="D29" s="11"/>
    </row>
    <row r="30" spans="2:4" ht="15" customHeight="1" x14ac:dyDescent="0.25">
      <c r="B30" s="12" t="s">
        <v>258</v>
      </c>
      <c r="C30" s="69">
        <f>ROUNDUP((C17)/Assumptions!$C$48,0)</f>
        <v>2</v>
      </c>
      <c r="D30" s="69">
        <f>ROUNDUP((D17)/Assumptions!$C$48,0)</f>
        <v>2</v>
      </c>
    </row>
    <row r="31" spans="2:4" ht="15" customHeight="1" x14ac:dyDescent="0.25">
      <c r="B31" s="12" t="s">
        <v>259</v>
      </c>
      <c r="C31" s="69">
        <f>C15*C16*C30</f>
        <v>8</v>
      </c>
      <c r="D31" s="69">
        <f>D15*D16*D30</f>
        <v>12</v>
      </c>
    </row>
    <row r="32" spans="2:4" ht="15" customHeight="1" x14ac:dyDescent="0.25">
      <c r="B32" s="12" t="s">
        <v>260</v>
      </c>
      <c r="C32" s="70">
        <f>C31*Assumptions!$C$34</f>
        <v>12</v>
      </c>
      <c r="D32" s="70">
        <f>D31*Assumptions!$C$34</f>
        <v>18</v>
      </c>
    </row>
    <row r="33" spans="2:5" ht="15" customHeight="1" x14ac:dyDescent="0.25">
      <c r="B33" s="12" t="s">
        <v>261</v>
      </c>
      <c r="C33" s="57">
        <f>C32*Assumptions!$C$35*Assumptions!$C$32+C32*(1-Assumptions!$C$35)*Assumptions!$C$33</f>
        <v>273.59999999999997</v>
      </c>
      <c r="D33" s="57">
        <f>D32*Assumptions!$C$35*Assumptions!$C$32+D32*(1-Assumptions!$C$35)*Assumptions!$C$33</f>
        <v>410.4</v>
      </c>
    </row>
    <row r="35" spans="2:5" ht="18" customHeight="1" x14ac:dyDescent="0.25">
      <c r="B35" s="11" t="s">
        <v>262</v>
      </c>
      <c r="C35" s="11"/>
      <c r="D35" s="11"/>
    </row>
    <row r="36" spans="2:5" ht="15" customHeight="1" x14ac:dyDescent="0.25">
      <c r="B36" s="12" t="s">
        <v>263</v>
      </c>
      <c r="C36" s="39">
        <f>Assumptions!$C$43*Assumptions!$C$38*C13</f>
        <v>2700</v>
      </c>
      <c r="D36" s="39">
        <f>Assumptions!$C$43*Assumptions!$C$38*D13</f>
        <v>3240</v>
      </c>
    </row>
    <row r="37" spans="2:5" ht="15" customHeight="1" x14ac:dyDescent="0.25">
      <c r="B37" s="12" t="s">
        <v>264</v>
      </c>
      <c r="C37" s="39">
        <f>Assumptions!$C$44*Assumptions!$C$39*C14</f>
        <v>1275</v>
      </c>
      <c r="D37" s="39">
        <f>Assumptions!$C$44*Assumptions!$C$39*D14</f>
        <v>1275</v>
      </c>
    </row>
    <row r="38" spans="2:5" ht="15" customHeight="1" x14ac:dyDescent="0.25">
      <c r="B38" s="12" t="s">
        <v>265</v>
      </c>
      <c r="C38" s="39">
        <f>Assumptions!$C$45*C18</f>
        <v>12000</v>
      </c>
      <c r="D38" s="39">
        <f>Assumptions!$C$45*D18</f>
        <v>18000</v>
      </c>
    </row>
    <row r="39" spans="2:5" ht="15" customHeight="1" x14ac:dyDescent="0.25">
      <c r="B39" s="54" t="s">
        <v>266</v>
      </c>
      <c r="C39" s="55">
        <f>C36+C37+C38</f>
        <v>15975</v>
      </c>
      <c r="D39" s="55">
        <f>D36+D37+D38</f>
        <v>22515</v>
      </c>
    </row>
    <row r="40" spans="2:5" ht="15" customHeight="1" x14ac:dyDescent="0.25">
      <c r="B40" s="54" t="s">
        <v>267</v>
      </c>
      <c r="C40" s="55">
        <f>C27+C33</f>
        <v>29403.599999999999</v>
      </c>
      <c r="D40" s="55">
        <f>D27+D33</f>
        <v>29810.400000000001</v>
      </c>
    </row>
    <row r="41" spans="2:5" ht="15" customHeight="1" x14ac:dyDescent="0.25">
      <c r="B41" s="60" t="s">
        <v>268</v>
      </c>
      <c r="C41" s="61">
        <f>C39-C40</f>
        <v>-13428.599999999999</v>
      </c>
      <c r="D41" s="61">
        <f>D39-D40</f>
        <v>-7295.4000000000015</v>
      </c>
    </row>
    <row r="43" spans="2:5" ht="18" customHeight="1" x14ac:dyDescent="0.25">
      <c r="B43" s="11" t="s">
        <v>269</v>
      </c>
      <c r="C43" s="11"/>
      <c r="D43" s="11"/>
    </row>
    <row r="44" spans="2:5" ht="15" customHeight="1" x14ac:dyDescent="0.25">
      <c r="B44" s="12" t="s">
        <v>270</v>
      </c>
      <c r="C44" s="57">
        <f>(Assumptions!$C$34/Assumptions!$C$48)*(Assumptions!$C$35*Assumptions!$C$32+(1-Assumptions!$C$35)*Assumptions!$C$33)</f>
        <v>3.4199999999999995</v>
      </c>
      <c r="D44" s="57">
        <f>(Assumptions!$C$34/Assumptions!$C$48)*(Assumptions!$C$35*Assumptions!$C$32+(1-Assumptions!$C$35)*Assumptions!$C$33)</f>
        <v>3.4199999999999995</v>
      </c>
    </row>
    <row r="45" spans="2:5" ht="15" customHeight="1" x14ac:dyDescent="0.25">
      <c r="B45" s="71" t="s">
        <v>234</v>
      </c>
      <c r="C45" s="72">
        <f>C27/(C39-C44*C18)</f>
        <v>1.8552485765600519</v>
      </c>
      <c r="D45" s="72">
        <f>D27/(D39-D44*D18)</f>
        <v>1.3300399011970361</v>
      </c>
    </row>
    <row r="48" spans="2:5" ht="19.5" customHeight="1" x14ac:dyDescent="0.25">
      <c r="B48" s="18" t="s">
        <v>271</v>
      </c>
      <c r="C48" s="18"/>
      <c r="D48" s="18"/>
      <c r="E48" s="18"/>
    </row>
    <row r="49" spans="2:5" ht="30" customHeight="1" x14ac:dyDescent="0.25">
      <c r="B49" s="41"/>
      <c r="C49" s="41" t="s">
        <v>272</v>
      </c>
      <c r="D49" s="41" t="s">
        <v>273</v>
      </c>
      <c r="E49" s="41" t="s">
        <v>274</v>
      </c>
    </row>
    <row r="50" spans="2:5" ht="15" customHeight="1" x14ac:dyDescent="0.25">
      <c r="B50" s="12" t="s">
        <v>275</v>
      </c>
      <c r="C50" s="73">
        <f>'Budget Model'!$E$9</f>
        <v>38060</v>
      </c>
      <c r="D50" s="73">
        <f>C23</f>
        <v>26400</v>
      </c>
      <c r="E50" s="73">
        <f>D23</f>
        <v>26400</v>
      </c>
    </row>
    <row r="51" spans="2:5" ht="15" customHeight="1" x14ac:dyDescent="0.25">
      <c r="B51" s="12" t="s">
        <v>276</v>
      </c>
      <c r="C51" s="73">
        <f>'ROI &amp; Breakeven'!$C$18</f>
        <v>40250</v>
      </c>
      <c r="D51" s="73">
        <f>C27</f>
        <v>29130</v>
      </c>
      <c r="E51" s="73">
        <f>D27</f>
        <v>29400</v>
      </c>
    </row>
    <row r="52" spans="2:5" ht="15" customHeight="1" x14ac:dyDescent="0.25">
      <c r="B52" s="12" t="s">
        <v>277</v>
      </c>
      <c r="C52" s="73">
        <f>'ROI &amp; Breakeven'!$C$18+'Budget Model'!$E$29</f>
        <v>40386.800000000003</v>
      </c>
      <c r="D52" s="73">
        <f>C40</f>
        <v>29403.599999999999</v>
      </c>
      <c r="E52" s="73">
        <f>D40</f>
        <v>29810.400000000001</v>
      </c>
    </row>
    <row r="53" spans="2:5" ht="15" customHeight="1" x14ac:dyDescent="0.25">
      <c r="B53" s="12" t="s">
        <v>278</v>
      </c>
      <c r="C53" s="73">
        <f>'ROI &amp; Breakeven'!$C$37+'ROI &amp; Breakeven'!$C$18</f>
        <v>8758.2000000000007</v>
      </c>
      <c r="D53" s="73">
        <f>C39</f>
        <v>15975</v>
      </c>
      <c r="E53" s="73">
        <f>D39</f>
        <v>22515</v>
      </c>
    </row>
    <row r="54" spans="2:5" ht="15" customHeight="1" x14ac:dyDescent="0.25">
      <c r="B54" s="54" t="s">
        <v>279</v>
      </c>
      <c r="C54" s="74">
        <f>'ROI &amp; Breakeven'!$C$37</f>
        <v>-31491.8</v>
      </c>
      <c r="D54" s="74">
        <f>C41</f>
        <v>-13428.599999999999</v>
      </c>
      <c r="E54" s="74">
        <f>D41</f>
        <v>-7295.4000000000015</v>
      </c>
    </row>
    <row r="55" spans="2:5" ht="15" customHeight="1" x14ac:dyDescent="0.25">
      <c r="B55" s="71" t="s">
        <v>280</v>
      </c>
      <c r="C55" s="75">
        <f>'ROI &amp; Breakeven'!$C$54</f>
        <v>4.5956931789637139</v>
      </c>
      <c r="D55" s="75">
        <f>C45</f>
        <v>1.8552485765600519</v>
      </c>
      <c r="E55" s="75">
        <f>D45</f>
        <v>1.3300399011970361</v>
      </c>
    </row>
    <row r="57" spans="2:5" ht="15" customHeight="1" x14ac:dyDescent="0.25">
      <c r="B57" s="12" t="s">
        <v>281</v>
      </c>
      <c r="C57" s="73">
        <f>C54-C54</f>
        <v>0</v>
      </c>
      <c r="D57" s="73">
        <f>D54-C54</f>
        <v>18063.2</v>
      </c>
      <c r="E57" s="73">
        <f>E54-C54</f>
        <v>24196.399999999998</v>
      </c>
    </row>
    <row r="59" spans="2:5" ht="15" customHeight="1" x14ac:dyDescent="0.25">
      <c r="B59" s="58" t="s">
        <v>282</v>
      </c>
      <c r="C59" s="58" t="s">
        <v>283</v>
      </c>
    </row>
    <row r="60" spans="2:5" ht="15" customHeight="1" x14ac:dyDescent="0.25">
      <c r="B60" s="12" t="s">
        <v>272</v>
      </c>
      <c r="C60" s="76">
        <f>C54</f>
        <v>-31491.8</v>
      </c>
    </row>
    <row r="61" spans="2:5" ht="15" customHeight="1" x14ac:dyDescent="0.25">
      <c r="B61" s="12" t="s">
        <v>273</v>
      </c>
      <c r="C61" s="76">
        <f>D54</f>
        <v>-13428.599999999999</v>
      </c>
    </row>
    <row r="62" spans="2:5" ht="15" customHeight="1" x14ac:dyDescent="0.25">
      <c r="B62" s="12" t="s">
        <v>274</v>
      </c>
      <c r="C62" s="76">
        <f>E54</f>
        <v>-7295.4000000000015</v>
      </c>
    </row>
    <row r="64" spans="2:5" ht="19.5" customHeight="1" x14ac:dyDescent="0.25">
      <c r="B64" s="18" t="s">
        <v>284</v>
      </c>
      <c r="C64" s="18"/>
      <c r="D64" s="18"/>
      <c r="E64" s="18"/>
    </row>
    <row r="65" spans="2:6" ht="64.5" customHeight="1" x14ac:dyDescent="0.25">
      <c r="B65" s="4" t="s">
        <v>309</v>
      </c>
      <c r="C65" s="4"/>
      <c r="D65" s="4"/>
      <c r="E65" s="4"/>
      <c r="F65" s="4"/>
    </row>
    <row r="66" spans="2:6" ht="64.5" customHeight="1" x14ac:dyDescent="0.25">
      <c r="B66" s="5" t="s">
        <v>310</v>
      </c>
      <c r="C66" s="5"/>
      <c r="D66" s="5"/>
      <c r="E66" s="5"/>
      <c r="F66" s="5"/>
    </row>
    <row r="67" spans="2:6" ht="51.75" customHeight="1" x14ac:dyDescent="0.25">
      <c r="B67" s="5" t="s">
        <v>285</v>
      </c>
      <c r="C67" s="5"/>
      <c r="D67" s="5"/>
      <c r="E67" s="5"/>
      <c r="F67" s="5"/>
    </row>
    <row r="68" spans="2:6" ht="51.75" customHeight="1" x14ac:dyDescent="0.25">
      <c r="B68" s="2" t="s">
        <v>286</v>
      </c>
      <c r="C68" s="2"/>
      <c r="D68" s="2"/>
      <c r="E68" s="2"/>
      <c r="F68" s="2"/>
    </row>
    <row r="69" spans="2:6" ht="51.75" customHeight="1" x14ac:dyDescent="0.25">
      <c r="B69" s="5" t="s">
        <v>287</v>
      </c>
      <c r="C69" s="5"/>
      <c r="D69" s="5"/>
      <c r="E69" s="5"/>
      <c r="F69" s="5"/>
    </row>
  </sheetData>
  <mergeCells count="6">
    <mergeCell ref="B69:F69"/>
    <mergeCell ref="B5:F5"/>
    <mergeCell ref="B65:F65"/>
    <mergeCell ref="B66:F66"/>
    <mergeCell ref="B67:F67"/>
    <mergeCell ref="B68:F68"/>
  </mergeCells>
  <pageMargins left="0.75" right="0.75" top="1" bottom="1" header="0.511811023622047" footer="0.511811023622047"/>
  <pageSetup paperSize="9" orientation="portrait" horizontalDpi="300" verticalDpi="30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548235"/>
  </sheetPr>
  <dimension ref="B2:G28"/>
  <sheetViews>
    <sheetView showGridLines="0" zoomScale="90" zoomScaleNormal="90" workbookViewId="0">
      <pane xSplit="1" ySplit="5" topLeftCell="B6" activePane="bottomRight" state="frozen"/>
      <selection pane="topRight" activeCell="B1" sqref="B1"/>
      <selection pane="bottomLeft" activeCell="A6" sqref="A6"/>
      <selection pane="bottomRight" activeCell="M14" sqref="M14"/>
    </sheetView>
  </sheetViews>
  <sheetFormatPr baseColWidth="10" defaultColWidth="8.7109375" defaultRowHeight="15" x14ac:dyDescent="0.25"/>
  <cols>
    <col min="1" max="1" width="3" customWidth="1"/>
    <col min="2" max="2" width="24" customWidth="1"/>
    <col min="3" max="7" width="14" customWidth="1"/>
    <col min="8" max="8" width="4" customWidth="1"/>
  </cols>
  <sheetData>
    <row r="2" spans="2:3" ht="19.5" customHeight="1" x14ac:dyDescent="0.3">
      <c r="B2" s="7" t="s">
        <v>288</v>
      </c>
    </row>
    <row r="3" spans="2:3" ht="15" customHeight="1" x14ac:dyDescent="0.25">
      <c r="B3" s="8" t="s">
        <v>289</v>
      </c>
    </row>
    <row r="6" spans="2:3" ht="19.5" customHeight="1" x14ac:dyDescent="0.25">
      <c r="B6" s="17" t="s">
        <v>290</v>
      </c>
      <c r="C6" s="17"/>
    </row>
    <row r="7" spans="2:3" ht="15" customHeight="1" x14ac:dyDescent="0.25">
      <c r="B7" s="58" t="s">
        <v>291</v>
      </c>
      <c r="C7" s="58" t="s">
        <v>292</v>
      </c>
    </row>
    <row r="8" spans="2:3" ht="15" customHeight="1" x14ac:dyDescent="0.25">
      <c r="B8" s="12" t="s">
        <v>201</v>
      </c>
      <c r="C8" s="77">
        <f>'Budget Model'!$E$9</f>
        <v>38060</v>
      </c>
    </row>
    <row r="9" spans="2:3" ht="15" customHeight="1" x14ac:dyDescent="0.25">
      <c r="B9" s="12" t="s">
        <v>293</v>
      </c>
      <c r="C9" s="77">
        <f>'Budget Model'!$E$14</f>
        <v>1200</v>
      </c>
    </row>
    <row r="10" spans="2:3" ht="15" customHeight="1" x14ac:dyDescent="0.25">
      <c r="B10" s="12" t="s">
        <v>294</v>
      </c>
      <c r="C10" s="77">
        <f>'Budget Model'!$E$19</f>
        <v>300</v>
      </c>
    </row>
    <row r="11" spans="2:3" ht="15" customHeight="1" x14ac:dyDescent="0.25">
      <c r="B11" s="12" t="s">
        <v>295</v>
      </c>
      <c r="C11" s="77">
        <f>'Budget Model'!$E$24</f>
        <v>750</v>
      </c>
    </row>
    <row r="12" spans="2:3" ht="15" customHeight="1" x14ac:dyDescent="0.25">
      <c r="B12" s="12" t="s">
        <v>296</v>
      </c>
      <c r="C12" s="77">
        <f>'Budget Model'!$E$29</f>
        <v>136.79999999999998</v>
      </c>
    </row>
    <row r="14" spans="2:3" ht="19.5" customHeight="1" x14ac:dyDescent="0.25">
      <c r="B14" s="17" t="s">
        <v>297</v>
      </c>
      <c r="C14" s="17"/>
    </row>
    <row r="15" spans="2:3" ht="15" customHeight="1" x14ac:dyDescent="0.25">
      <c r="B15" s="58" t="s">
        <v>298</v>
      </c>
      <c r="C15" s="58" t="s">
        <v>283</v>
      </c>
    </row>
    <row r="16" spans="2:3" ht="15" customHeight="1" x14ac:dyDescent="0.25">
      <c r="B16" s="12" t="s">
        <v>166</v>
      </c>
      <c r="C16" s="77">
        <f>'Sensitivity Analysis'!$D$29</f>
        <v>-35930.9</v>
      </c>
    </row>
    <row r="17" spans="2:7" ht="15" customHeight="1" x14ac:dyDescent="0.25">
      <c r="B17" s="12" t="s">
        <v>167</v>
      </c>
      <c r="C17" s="77">
        <f>'Sensitivity Analysis'!$D$30</f>
        <v>-31551.800000000003</v>
      </c>
    </row>
    <row r="18" spans="2:7" ht="15" customHeight="1" x14ac:dyDescent="0.25">
      <c r="B18" s="12" t="s">
        <v>168</v>
      </c>
      <c r="C18" s="77">
        <f>'Sensitivity Analysis'!$D$31</f>
        <v>-27172.699999999997</v>
      </c>
    </row>
    <row r="21" spans="2:7" ht="19.5" customHeight="1" x14ac:dyDescent="0.25">
      <c r="B21" s="17" t="s">
        <v>299</v>
      </c>
      <c r="C21" s="17"/>
      <c r="D21" s="17"/>
    </row>
    <row r="22" spans="2:7" ht="15" customHeight="1" x14ac:dyDescent="0.25">
      <c r="B22" s="58" t="s">
        <v>172</v>
      </c>
      <c r="C22" s="58" t="s">
        <v>166</v>
      </c>
      <c r="D22" s="58" t="s">
        <v>168</v>
      </c>
    </row>
    <row r="23" spans="2:7" ht="15" customHeight="1" x14ac:dyDescent="0.25">
      <c r="B23" s="12" t="str">
        <f>'Sensitivity Analysis'!$B$38</f>
        <v>Personnel rate (±10%)</v>
      </c>
      <c r="C23" s="77">
        <f>'Sensitivity Analysis'!$E$38</f>
        <v>36640.800000000003</v>
      </c>
      <c r="D23" s="77">
        <f>'Sensitivity Analysis'!$F$38</f>
        <v>44252.800000000003</v>
      </c>
    </row>
    <row r="24" spans="2:7" ht="15" customHeight="1" x14ac:dyDescent="0.25">
      <c r="B24" s="12" t="str">
        <f>'Sensitivity Analysis'!$B$39</f>
        <v>Course enrollment (50%–150%)</v>
      </c>
      <c r="C24" s="77">
        <f>'Sensitivity Analysis'!$E$39</f>
        <v>40378.400000000001</v>
      </c>
      <c r="D24" s="77">
        <f>'Sensitivity Analysis'!$F$39</f>
        <v>40515.199999999997</v>
      </c>
    </row>
    <row r="25" spans="2:7" ht="15" customHeight="1" x14ac:dyDescent="0.25">
      <c r="B25" s="12" t="str">
        <f>'Sensitivity Analysis'!$B$40</f>
        <v>Assessor hrs/batch (1.0–2.5)</v>
      </c>
      <c r="C25" s="77">
        <f>'Sensitivity Analysis'!$E$40</f>
        <v>40401.199999999997</v>
      </c>
      <c r="D25" s="77">
        <f>'Sensitivity Analysis'!$F$40</f>
        <v>40538</v>
      </c>
    </row>
    <row r="26" spans="2:7" ht="15" customHeight="1" x14ac:dyDescent="0.25">
      <c r="B26" s="12" t="str">
        <f>'Sensitivity Analysis'!$B$41</f>
        <v>Open Call outcomes (sessions awarded)</v>
      </c>
      <c r="C26" s="77">
        <f>'Sensitivity Analysis'!$E$41</f>
        <v>40446.800000000003</v>
      </c>
      <c r="D26" s="77">
        <f>'Sensitivity Analysis'!$F$41</f>
        <v>41046.800000000003</v>
      </c>
    </row>
    <row r="28" spans="2:7" ht="27.75" customHeight="1" x14ac:dyDescent="0.25">
      <c r="B28" s="1" t="s">
        <v>300</v>
      </c>
      <c r="C28" s="1"/>
      <c r="D28" s="1"/>
      <c r="E28" s="1"/>
      <c r="F28" s="1"/>
      <c r="G28" s="1"/>
    </row>
  </sheetData>
  <mergeCells count="1">
    <mergeCell ref="B28:G28"/>
  </mergeCells>
  <pageMargins left="0.75" right="0.75" top="1" bottom="1" header="0.511811023622047" footer="0.511811023622047"/>
  <pageSetup paperSize="9" orientation="portrait" horizontalDpi="300" verticalDpi="300"/>
  <drawing r:id="rId1"/>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Hojas de cálculo</vt:lpstr>
      </vt:variant>
      <vt:variant>
        <vt:i4>7</vt:i4>
      </vt:variant>
    </vt:vector>
  </HeadingPairs>
  <TitlesOfParts>
    <vt:vector size="7" baseType="lpstr">
      <vt:lpstr>README</vt:lpstr>
      <vt:lpstr>Assumptions</vt:lpstr>
      <vt:lpstr>Budget Model</vt:lpstr>
      <vt:lpstr>Sensitivity Analysis</vt:lpstr>
      <vt:lpstr>ROI &amp; Breakeven</vt:lpstr>
      <vt:lpstr>Prudent Scenario</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SANTIAGO EFRAIN ORTIZ PECH</cp:lastModifiedBy>
  <cp:revision>9</cp:revision>
  <dcterms:created xsi:type="dcterms:W3CDTF">2026-06-30T23:10:19Z</dcterms:created>
  <dcterms:modified xsi:type="dcterms:W3CDTF">2026-07-09T17:31:16Z</dcterms:modified>
  <dc:language>en-US</dc:language>
</cp:coreProperties>
</file>